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omments1.xml" ContentType="application/vnd.openxmlformats-officedocument.spreadsheetml.comments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C7D7DFBA-A3E8-793F-BDBE-722D05640CCE}"/>
  <workbookPr codeName="ThisWorkbook" defaultThemeVersion="124226"/>
  <bookViews>
    <workbookView xWindow="105" yWindow="120" windowWidth="20610" windowHeight="11640"/>
  </bookViews>
  <sheets>
    <sheet name="Liste des sorts" sheetId="1" r:id="rId1"/>
    <sheet name="Liste des effets" sheetId="2" r:id="rId2"/>
    <sheet name="Equilibrage de base des sorts" sheetId="3" r:id="rId3"/>
    <sheet name="Equilibrage des équipements" sheetId="4" r:id="rId4"/>
  </sheets>
  <calcPr calcId="144525"/>
</workbook>
</file>

<file path=xl/calcChain.xml><?xml version="1.0" encoding="utf-8"?>
<calcChain xmlns="http://schemas.openxmlformats.org/spreadsheetml/2006/main">
  <c r="F319" i="1" l="1"/>
  <c r="F318" i="1"/>
  <c r="F317" i="1"/>
  <c r="F311" i="1"/>
  <c r="F310" i="1"/>
  <c r="F309" i="1"/>
  <c r="F303" i="1"/>
  <c r="F302" i="1"/>
  <c r="F301" i="1"/>
  <c r="F293" i="1"/>
  <c r="F292" i="1"/>
  <c r="F291" i="1"/>
  <c r="F285" i="1"/>
  <c r="F284" i="1"/>
  <c r="F283" i="1"/>
  <c r="F277" i="1"/>
  <c r="F276" i="1"/>
  <c r="F275" i="1"/>
  <c r="F269" i="1"/>
  <c r="F268" i="1"/>
  <c r="F267" i="1"/>
  <c r="F201" i="1"/>
  <c r="F200" i="1"/>
  <c r="F199" i="1"/>
  <c r="F193" i="1"/>
  <c r="F192" i="1"/>
  <c r="F191" i="1"/>
  <c r="F185" i="1"/>
  <c r="F184" i="1"/>
  <c r="F183" i="1"/>
  <c r="F175" i="1"/>
  <c r="F174" i="1"/>
  <c r="F173" i="1"/>
  <c r="F167" i="1"/>
  <c r="F166" i="1"/>
  <c r="F165" i="1"/>
  <c r="F159" i="1"/>
  <c r="F158" i="1"/>
  <c r="F157" i="1"/>
  <c r="F151" i="1"/>
  <c r="F150" i="1"/>
  <c r="F149" i="1"/>
  <c r="F104" i="1"/>
  <c r="F103" i="1"/>
  <c r="F102" i="1"/>
  <c r="F96" i="1"/>
  <c r="F95" i="1"/>
  <c r="F94" i="1"/>
  <c r="F88" i="1"/>
  <c r="F87" i="1"/>
  <c r="F86" i="1"/>
  <c r="F78" i="1"/>
  <c r="F77" i="1"/>
  <c r="F76" i="1"/>
  <c r="F70" i="1"/>
  <c r="F69" i="1"/>
  <c r="F68" i="1"/>
  <c r="F62" i="1"/>
  <c r="F61" i="1"/>
  <c r="F60" i="1"/>
  <c r="F54" i="1"/>
  <c r="F53" i="1"/>
  <c r="F52" i="1"/>
  <c r="L259" i="1"/>
  <c r="L258" i="1"/>
  <c r="L257" i="1"/>
  <c r="R251" i="1"/>
  <c r="R250" i="1"/>
  <c r="R249" i="1"/>
  <c r="L251" i="1"/>
  <c r="L250" i="1"/>
  <c r="L249" i="1"/>
  <c r="L235" i="1"/>
  <c r="L234" i="1"/>
  <c r="L233" i="1"/>
  <c r="F259" i="1"/>
  <c r="F258" i="1"/>
  <c r="F257" i="1"/>
  <c r="R141" i="1"/>
  <c r="R140" i="1"/>
  <c r="R139" i="1"/>
  <c r="L141" i="1"/>
  <c r="L140" i="1"/>
  <c r="L139" i="1"/>
  <c r="L133" i="1"/>
  <c r="L132" i="1"/>
  <c r="L131" i="1"/>
  <c r="L117" i="1"/>
  <c r="L116" i="1"/>
  <c r="L115" i="1"/>
  <c r="F141" i="1"/>
  <c r="F140" i="1"/>
  <c r="F139" i="1"/>
  <c r="L28" i="1"/>
  <c r="L27" i="1"/>
  <c r="L26" i="1"/>
  <c r="R18" i="1"/>
  <c r="R19" i="1"/>
  <c r="R20" i="1"/>
  <c r="F44" i="1"/>
  <c r="F43" i="1"/>
  <c r="F42" i="1"/>
  <c r="F251" i="1"/>
  <c r="F250" i="1"/>
  <c r="F249" i="1"/>
  <c r="F243" i="1"/>
  <c r="F242" i="1"/>
  <c r="F241" i="1"/>
  <c r="F235" i="1"/>
  <c r="F234" i="1"/>
  <c r="F233" i="1"/>
  <c r="F133" i="1"/>
  <c r="F132" i="1"/>
  <c r="F131" i="1"/>
  <c r="F125" i="1"/>
  <c r="F124" i="1"/>
  <c r="F123" i="1"/>
  <c r="F117" i="1"/>
  <c r="F116" i="1"/>
  <c r="F115" i="1"/>
  <c r="L36" i="1"/>
  <c r="L35" i="1"/>
  <c r="L34" i="1"/>
  <c r="F36" i="1"/>
  <c r="F35" i="1"/>
  <c r="F34" i="1"/>
  <c r="F28" i="1"/>
  <c r="F27" i="1"/>
  <c r="F26" i="1"/>
  <c r="L20" i="1"/>
  <c r="L19" i="1"/>
  <c r="L18" i="1"/>
  <c r="F20" i="1"/>
  <c r="F19" i="1"/>
  <c r="F18" i="1"/>
  <c r="F8" i="1"/>
  <c r="F6" i="1"/>
  <c r="F7" i="1"/>
  <c r="F312" i="1" l="1"/>
  <c r="F320" i="1"/>
  <c r="F304" i="1"/>
  <c r="F278" i="1"/>
  <c r="F270" i="1"/>
  <c r="F286" i="1"/>
  <c r="F294" i="1"/>
  <c r="F194" i="1"/>
  <c r="F202" i="1"/>
  <c r="F186" i="1"/>
  <c r="F168" i="1"/>
  <c r="F152" i="1"/>
  <c r="F160" i="1"/>
  <c r="F176" i="1"/>
  <c r="F89" i="1"/>
  <c r="F105" i="1"/>
  <c r="F79" i="1"/>
  <c r="F97" i="1"/>
  <c r="F71" i="1"/>
  <c r="F63" i="1"/>
  <c r="F55" i="1"/>
  <c r="L260" i="1"/>
  <c r="R252" i="1"/>
  <c r="F260" i="1"/>
  <c r="L252" i="1"/>
  <c r="F244" i="1"/>
  <c r="L236" i="1"/>
  <c r="L118" i="1"/>
  <c r="R142" i="1"/>
  <c r="L134" i="1"/>
  <c r="L142" i="1"/>
  <c r="F142" i="1"/>
  <c r="L29" i="1"/>
  <c r="R21" i="1"/>
  <c r="F252" i="1"/>
  <c r="F45" i="1"/>
  <c r="F236" i="1"/>
  <c r="F134" i="1"/>
  <c r="F126" i="1"/>
  <c r="F118" i="1"/>
  <c r="L37" i="1"/>
  <c r="F37" i="1"/>
  <c r="F29" i="1"/>
  <c r="L21" i="1"/>
  <c r="F21" i="1"/>
  <c r="F9" i="1"/>
</calcChain>
</file>

<file path=xl/comments1.xml><?xml version="1.0" encoding="utf-8"?>
<comments xmlns="http://schemas.openxmlformats.org/spreadsheetml/2006/main">
  <authors>
    <author>Your User Name</author>
  </authors>
  <commentList>
    <comment ref="B4" authorId="0">
      <text>
        <r>
          <rPr>
            <sz val="8"/>
            <color indexed="81"/>
            <rFont val="Tahoma"/>
            <charset val="1"/>
          </rPr>
          <t>Le nom du sort, tel qu'il apparaitra dans le jeu.</t>
        </r>
      </text>
    </comment>
    <comment ref="B5" authorId="0">
      <text>
        <r>
          <rPr>
            <sz val="8"/>
            <color indexed="81"/>
            <rFont val="Tahoma"/>
            <charset val="1"/>
          </rPr>
          <t>Le type du sort, parmi frappe, estocade, botte, parade.</t>
        </r>
      </text>
    </comment>
    <comment ref="C5" authorId="0">
      <text>
        <r>
          <rPr>
            <sz val="8"/>
            <color indexed="81"/>
            <rFont val="Tahoma"/>
            <charset val="1"/>
          </rPr>
          <t>La sphère du sort, parmi vie, esprit, énergie.</t>
        </r>
      </text>
    </comment>
    <comment ref="B6" authorId="0">
      <text>
        <r>
          <rPr>
            <sz val="8"/>
            <color indexed="81"/>
            <rFont val="Tahoma"/>
            <charset val="1"/>
          </rPr>
          <t>Le temps de recharge, en nombre de tours.</t>
        </r>
      </text>
    </comment>
    <comment ref="C6" authorId="0">
      <text>
        <r>
          <rPr>
            <sz val="8"/>
            <color indexed="81"/>
            <rFont val="Tahoma"/>
            <charset val="1"/>
          </rPr>
          <t>Le coût en nombre de points de magie.</t>
        </r>
      </text>
    </comment>
    <comment ref="B7" authorId="0">
      <text>
        <r>
          <rPr>
            <sz val="8"/>
            <color indexed="81"/>
            <rFont val="Tahoma"/>
            <charset val="1"/>
          </rPr>
          <t>La liste des effets, sous forme de liste à virgule.</t>
        </r>
      </text>
    </comment>
  </commentList>
</comments>
</file>

<file path=xl/sharedStrings.xml><?xml version="1.0" encoding="utf-8"?>
<sst xmlns="http://schemas.openxmlformats.org/spreadsheetml/2006/main" count="591" uniqueCount="218">
  <si>
    <t>Liste des effets</t>
  </si>
  <si>
    <t>Blessure</t>
  </si>
  <si>
    <t>Terme de jeu</t>
  </si>
  <si>
    <t>Description</t>
  </si>
  <si>
    <t>Utilité</t>
  </si>
  <si>
    <t>Inflige X points de dégâts à l'adversaire</t>
  </si>
  <si>
    <t>Commentaire</t>
  </si>
  <si>
    <t>par point de dégât infligé</t>
  </si>
  <si>
    <t>Soins</t>
  </si>
  <si>
    <t>Redonne X points de vie au joueur</t>
  </si>
  <si>
    <t>par point de vie restauré</t>
  </si>
  <si>
    <t>Entrave</t>
  </si>
  <si>
    <t>par point de mana ajouté</t>
  </si>
  <si>
    <t>Augmente de X le coût en mana du prochain sort utilisé par l'adversaire</t>
  </si>
  <si>
    <t>par point de mana retiré</t>
  </si>
  <si>
    <t>Permet de voir la prochaine génération de mana</t>
  </si>
  <si>
    <t>par tour de jeu prévu</t>
  </si>
  <si>
    <t>Absorption</t>
  </si>
  <si>
    <t>par point de dégât absorbé</t>
  </si>
  <si>
    <t>Invocation de (sphère)</t>
  </si>
  <si>
    <t>Divination</t>
  </si>
  <si>
    <t>Anticipation</t>
  </si>
  <si>
    <t>Révèle la main de l'adversaire</t>
  </si>
  <si>
    <t>Brulure de (sphère)</t>
  </si>
  <si>
    <t xml:space="preserve">Réduit de X le nombre de points de mana de (sphère) de l'adversaire </t>
  </si>
  <si>
    <t>Transmutation de (sphère1) en (sphère2)</t>
  </si>
  <si>
    <t>Transforme X points de mana de (sphère1) en points de mana de (sphère2)</t>
  </si>
  <si>
    <t>par point de mana converti</t>
  </si>
  <si>
    <t>Le prochain mana généré sera du mana de type (sphère)</t>
  </si>
  <si>
    <t>Absorption de (sphère)</t>
  </si>
  <si>
    <t>Réduit de X les dégâts infligés par la prochaine attaque de (sphère) de l'adversaire</t>
  </si>
  <si>
    <t>Entrave de (sphère)</t>
  </si>
  <si>
    <t>Augmente de X le coût en mana du prochain sort de (sphère) utilisé par l'adversaire</t>
  </si>
  <si>
    <t>Préparation de (sphère)</t>
  </si>
  <si>
    <t>Réduit de X les dégâts infligés par la prochaine attaque de l'adversaire</t>
  </si>
  <si>
    <t>Equilibrage de base</t>
  </si>
  <si>
    <t>Cooldown moyen</t>
  </si>
  <si>
    <t>Utilité du cooldown</t>
  </si>
  <si>
    <t>Utilité de l'avantage</t>
  </si>
  <si>
    <t>Catégories</t>
  </si>
  <si>
    <t>Utilité de base</t>
  </si>
  <si>
    <t>Standard</t>
  </si>
  <si>
    <t>Epique</t>
  </si>
  <si>
    <t>Divin</t>
  </si>
  <si>
    <t>Frappe</t>
  </si>
  <si>
    <t>Nom</t>
  </si>
  <si>
    <t>Sphère</t>
  </si>
  <si>
    <t>Patron de sort</t>
  </si>
  <si>
    <t>Estocade</t>
  </si>
  <si>
    <t>Parade</t>
  </si>
  <si>
    <t>Botte</t>
  </si>
  <si>
    <t>Utilité du coût</t>
  </si>
  <si>
    <t>Utilité des effets</t>
  </si>
  <si>
    <t>Utilité totale</t>
  </si>
  <si>
    <t>Utilité détaillée</t>
  </si>
  <si>
    <t>Type privilégié</t>
  </si>
  <si>
    <t>Tous</t>
  </si>
  <si>
    <t>Parade, Botte</t>
  </si>
  <si>
    <t>Frappe, Botte</t>
  </si>
  <si>
    <t>Annule une frappe adverse</t>
  </si>
  <si>
    <t>Parade de (sphère)</t>
  </si>
  <si>
    <t>Annule une frappe de (sphère)</t>
  </si>
  <si>
    <t>Sphère d'énergie</t>
  </si>
  <si>
    <t>Les effets paramétrés doivent être suivis de leur magnitude, par exemple "blessure 18". Les effets à utilité fixe n'ont pas besoin de magnitude.</t>
  </si>
  <si>
    <r>
      <t xml:space="preserve">Copier-coller le patron de sort </t>
    </r>
    <r>
      <rPr>
        <b/>
        <i/>
        <sz val="10"/>
        <color rgb="FF7F7F7F"/>
        <rFont val="Calibri"/>
        <family val="2"/>
        <scheme val="minor"/>
      </rPr>
      <t>avec</t>
    </r>
    <r>
      <rPr>
        <i/>
        <sz val="10"/>
        <color rgb="FF7F7F7F"/>
        <rFont val="Calibri"/>
        <family val="2"/>
        <scheme val="minor"/>
      </rPr>
      <t xml:space="preserve"> le tableau d'utilité pour créer un nouveau sort.</t>
    </r>
  </si>
  <si>
    <r>
      <t xml:space="preserve">Les effets doivent être écrit sous forme de liste à virgule, en respectant le nom des effets tels que décrits dans la feuille "Liste des effets". La casse n'est pas importante. </t>
    </r>
    <r>
      <rPr>
        <i/>
        <u/>
        <sz val="10"/>
        <color rgb="FF7F7F7F"/>
        <rFont val="Calibri"/>
        <family val="2"/>
        <scheme val="minor"/>
      </rPr>
      <t/>
    </r>
  </si>
  <si>
    <t>Attention : la liste doit se terminer par une virgule sinon le dernier effet ne sera pas pris en compte.</t>
  </si>
  <si>
    <t>Energie</t>
  </si>
  <si>
    <t>Avantage</t>
  </si>
  <si>
    <t>Prend l'avantage</t>
  </si>
  <si>
    <t>Variable</t>
  </si>
  <si>
    <t>voir équilibrage de base</t>
  </si>
  <si>
    <t>Effets : test, avantage,</t>
  </si>
  <si>
    <t>Pour obtenir un format imprimable, réduire les groupements.</t>
  </si>
  <si>
    <t>Sphère privilégiée</t>
  </si>
  <si>
    <t>Exemples</t>
  </si>
  <si>
    <t>Atours</t>
  </si>
  <si>
    <t>Toge, robe, bure, armure, costume</t>
  </si>
  <si>
    <t>Symbole de pouvoir</t>
  </si>
  <si>
    <t>Coiffe</t>
  </si>
  <si>
    <t>Couronne, casque, tiare, diadème, chapeau</t>
  </si>
  <si>
    <t>Parure</t>
  </si>
  <si>
    <t>Collier, bracelet, anneau, torque</t>
  </si>
  <si>
    <t>Aura</t>
  </si>
  <si>
    <t>Liste des catégories</t>
  </si>
  <si>
    <t>Liste des bonus</t>
  </si>
  <si>
    <t>Santé</t>
  </si>
  <si>
    <t>Volonté</t>
  </si>
  <si>
    <t>Sortilège</t>
  </si>
  <si>
    <t>Réserve de (sphère)</t>
  </si>
  <si>
    <t>Augmente la santé maximale du personnage</t>
  </si>
  <si>
    <t>Augmente la volonté maximale du personnage</t>
  </si>
  <si>
    <t>Augmente le nombre de sorts dans le grimoire</t>
  </si>
  <si>
    <t>Augmente le nombre de points de mana de départ dans la sphère (sphère)</t>
  </si>
  <si>
    <t>par point de santé ajouté</t>
  </si>
  <si>
    <t>par point de volonté ajouté</t>
  </si>
  <si>
    <t>par sort supplémentaire</t>
  </si>
  <si>
    <t>Equipement privilégié</t>
  </si>
  <si>
    <t>Sceptre, épée, baton, caducée, baguette, grimoire, parchemin</t>
  </si>
  <si>
    <t>Bonus à l'estocade</t>
  </si>
  <si>
    <t>Bonus à l'attaque</t>
  </si>
  <si>
    <t>Bonus à la parade</t>
  </si>
  <si>
    <t>Bonus de botte</t>
  </si>
  <si>
    <t>Liste des bénédictions</t>
  </si>
  <si>
    <t>Regain de volonté</t>
  </si>
  <si>
    <t>* utilité de la bénédiction</t>
  </si>
  <si>
    <t>(Effet de sort)</t>
  </si>
  <si>
    <t>Utilité de l'effet</t>
  </si>
  <si>
    <t>Redonne X points de mana de (sphère)</t>
  </si>
  <si>
    <t>Redonne X points de volonté</t>
  </si>
  <si>
    <t>Regain de mana (sphère)</t>
  </si>
  <si>
    <t>par point de mana gagné</t>
  </si>
  <si>
    <t>par point de volonté gagné</t>
  </si>
  <si>
    <t>Reproduit un effet de sort (voir liste des effets)</t>
  </si>
  <si>
    <t>Sur une estocade réussie, le joueur reçoit une bénédiction (voir liste plus bas)</t>
  </si>
  <si>
    <t>Sur une attaque réussie, le joueur reçoit une bénédiction (voir liste plus bas)</t>
  </si>
  <si>
    <t>Sur une parade réussie, le joueur reçoit une bénédiction (voir liste plus bas)</t>
  </si>
  <si>
    <t>Sur une botte réussie, le joueur reçoit une bénédiction (voir liste plus bas)</t>
  </si>
  <si>
    <t>Atours, Parure</t>
  </si>
  <si>
    <t>Coiffe, Parure</t>
  </si>
  <si>
    <t>Flamboyante, électrique, vaporeuse, lumineuse, ténébreuse</t>
  </si>
  <si>
    <t>Parade,</t>
  </si>
  <si>
    <t>Blessure 40,</t>
  </si>
  <si>
    <t>à l'utilité de la parade</t>
  </si>
  <si>
    <t>Sphère d'esprit</t>
  </si>
  <si>
    <t>Esprit</t>
  </si>
  <si>
    <t>Parade, avantage,</t>
  </si>
  <si>
    <t>Blessure 30,</t>
  </si>
  <si>
    <t>Sphère de vie</t>
  </si>
  <si>
    <t>Vie</t>
  </si>
  <si>
    <t>Blessure 10, avantage,</t>
  </si>
  <si>
    <t>Blessure 8, avantage</t>
  </si>
  <si>
    <t xml:space="preserve">Invocation de (sphère) : esprit, </t>
  </si>
  <si>
    <t>Pilum of Appolo</t>
  </si>
  <si>
    <t>Storm Calling</t>
  </si>
  <si>
    <t>Hermetic Shield</t>
  </si>
  <si>
    <t>Backfire</t>
  </si>
  <si>
    <t>Thunderstrike</t>
  </si>
  <si>
    <t>Condemn</t>
  </si>
  <si>
    <t>Spiritual Sanctuary</t>
  </si>
  <si>
    <t>Astral Escape</t>
  </si>
  <si>
    <t>Clearsight</t>
  </si>
  <si>
    <t>Whispers of the Gods</t>
  </si>
  <si>
    <t>Magus Authority</t>
  </si>
  <si>
    <t>Avantage,</t>
  </si>
  <si>
    <t>Lightning Bolt</t>
  </si>
  <si>
    <t>Lightning Discharge</t>
  </si>
  <si>
    <t>Energy Mastery</t>
  </si>
  <si>
    <t>Entanglement</t>
  </si>
  <si>
    <t>Divination 1, Blessure 26,</t>
  </si>
  <si>
    <t>Mystic Wind</t>
  </si>
  <si>
    <t>Blessure 10, Entrave 2,</t>
  </si>
  <si>
    <t>Breath of Gaïa</t>
  </si>
  <si>
    <t>Tear of the Titans</t>
  </si>
  <si>
    <t>Wind of Change</t>
  </si>
  <si>
    <t>Anticipation, Divination 1,</t>
  </si>
  <si>
    <t>Enchaînement</t>
  </si>
  <si>
    <t>Réduit de X le coût en mana du prochain sort de la même sphère utilisé par le joueur</t>
  </si>
  <si>
    <t>Blessure 28, Enchaînement 1,</t>
  </si>
  <si>
    <t>Parade, Enchaînement 3,</t>
  </si>
  <si>
    <t>Réduit de X le cooldown de tous les sorts de type (sphère) du joueur</t>
  </si>
  <si>
    <t>par tour de cooldown réduit</t>
  </si>
  <si>
    <t>Préparation de (sphère) 2,</t>
  </si>
  <si>
    <t>Blessure 10, Enchaînement 1,</t>
  </si>
  <si>
    <t>Confusion</t>
  </si>
  <si>
    <t>Blessure 20, Enchaînement 1,</t>
  </si>
  <si>
    <t>Serenity</t>
  </si>
  <si>
    <t>Absorption 10,</t>
  </si>
  <si>
    <t>Nature Renewal</t>
  </si>
  <si>
    <t>Absorption 8,</t>
  </si>
  <si>
    <t>Absorption 13, Enchaînement 1,</t>
  </si>
  <si>
    <t>Parade, Enchaînement 2, Avantage,</t>
  </si>
  <si>
    <t>Erosion</t>
  </si>
  <si>
    <t>Spring Calling</t>
  </si>
  <si>
    <t>Sorts standards</t>
  </si>
  <si>
    <t>Sorts épiques</t>
  </si>
  <si>
    <t>Energy Torrent</t>
  </si>
  <si>
    <t>Blessure 13, Enchaînement 2,</t>
  </si>
  <si>
    <t>Parade de (sphère), Enchaînement 3,</t>
  </si>
  <si>
    <t>Vengeance</t>
  </si>
  <si>
    <t>Sorts divins</t>
  </si>
  <si>
    <t>Zeus Fury</t>
  </si>
  <si>
    <t>Blessure 60,</t>
  </si>
  <si>
    <t>Circle of Invocation</t>
  </si>
  <si>
    <t>Absorption 10, Enchaînement 2,</t>
  </si>
  <si>
    <t>Hephaïstos Chains</t>
  </si>
  <si>
    <t>Entrave 5,</t>
  </si>
  <si>
    <t>Ineluctable Energies</t>
  </si>
  <si>
    <t>Enchaînement 10,</t>
  </si>
  <si>
    <t>Energy Drain</t>
  </si>
  <si>
    <t>Brulure de (sphère) 4, energie, Enchaînement 4,</t>
  </si>
  <si>
    <t>Epiphany</t>
  </si>
  <si>
    <t>Préparation de (sphère) 5,</t>
  </si>
  <si>
    <t>Reveal Fears</t>
  </si>
  <si>
    <t>Avantage, Enchaînement 1,</t>
  </si>
  <si>
    <t>Blessure 50,</t>
  </si>
  <si>
    <t>Dissipation</t>
  </si>
  <si>
    <t>Shatter the Mind</t>
  </si>
  <si>
    <t>Spiritual Form</t>
  </si>
  <si>
    <t>Defensive Mantra</t>
  </si>
  <si>
    <t>Absorption 20, Entrave 5,</t>
  </si>
  <si>
    <t>Absorption 10, Enchaînement 6,</t>
  </si>
  <si>
    <t>Heal Ritual</t>
  </si>
  <si>
    <t>Soins 20,</t>
  </si>
  <si>
    <t>Touch of Diana</t>
  </si>
  <si>
    <t>Parade, Soins 10,</t>
  </si>
  <si>
    <t>Drain Life</t>
  </si>
  <si>
    <t>Blessure 10, Soins 10,</t>
  </si>
  <si>
    <t>Curse of Aging</t>
  </si>
  <si>
    <t>Blessure 30, Entrave 4,</t>
  </si>
  <si>
    <t>Diana's Arrow</t>
  </si>
  <si>
    <t>Blessure 30, Brulure de (sphère) 3,</t>
  </si>
  <si>
    <t>Supernatural Vigor</t>
  </si>
  <si>
    <t>Gaïa's Awakening</t>
  </si>
  <si>
    <t>Blessure 50, Entrave 2,</t>
  </si>
  <si>
    <t>Ananke Strike</t>
  </si>
  <si>
    <t>Enchaînement 4,</t>
  </si>
  <si>
    <t>Entrave 2, Enchaînement 3,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</si>
</sst>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i/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i/>
      <sz val="10"/>
      <color rgb="FF7F7F7F"/>
      <name val="Calibri"/>
      <family val="2"/>
      <scheme val="minor"/>
    </font>
    <font>
      <i/>
      <u/>
      <sz val="10"/>
      <color rgb="FF7F7F7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8"/>
      <color indexed="81"/>
      <name val="Tahoma"/>
      <charset val="1"/>
    </font>
    <font>
      <b/>
      <sz val="13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3" fillId="0" borderId="1" applyNumberFormat="0" applyFill="0" applyAlignment="0" applyProtection="0"/>
    <xf numFmtId="0" fontId="10" fillId="5" borderId="10" applyNumberFormat="0" applyFont="0" applyAlignment="0" applyProtection="0"/>
    <xf numFmtId="0" fontId="14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0" fillId="0" borderId="0" xfId="0" applyBorder="1"/>
    <xf numFmtId="0" fontId="5" fillId="0" borderId="0" xfId="0" applyFont="1"/>
    <xf numFmtId="0" fontId="0" fillId="0" borderId="0" xfId="0" applyFont="1" applyAlignment="1">
      <alignment horizontal="right"/>
    </xf>
    <xf numFmtId="0" fontId="0" fillId="0" borderId="0" xfId="0" applyAlignment="1">
      <alignment textRotation="45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8" fillId="0" borderId="0" xfId="0" applyFont="1" applyBorder="1"/>
    <xf numFmtId="0" fontId="0" fillId="0" borderId="0" xfId="0" applyBorder="1" applyAlignment="1">
      <alignment horizontal="right"/>
    </xf>
    <xf numFmtId="0" fontId="9" fillId="0" borderId="0" xfId="0" applyFont="1"/>
    <xf numFmtId="0" fontId="4" fillId="2" borderId="5" xfId="0" applyFont="1" applyFill="1" applyBorder="1" applyAlignment="1">
      <alignment horizontal="center" vertical="top"/>
    </xf>
    <xf numFmtId="0" fontId="0" fillId="0" borderId="0" xfId="0" applyFont="1"/>
    <xf numFmtId="0" fontId="0" fillId="0" borderId="13" xfId="0" applyBorder="1" applyAlignment="1"/>
    <xf numFmtId="0" fontId="15" fillId="0" borderId="0" xfId="0" applyFont="1"/>
    <xf numFmtId="0" fontId="15" fillId="0" borderId="0" xfId="0" applyFont="1" applyBorder="1"/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/>
    </xf>
    <xf numFmtId="0" fontId="0" fillId="4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3" fillId="0" borderId="1" xfId="1" applyAlignment="1">
      <alignment horizontal="center"/>
    </xf>
    <xf numFmtId="0" fontId="11" fillId="5" borderId="17" xfId="3" applyFont="1" applyFill="1" applyBorder="1" applyAlignment="1">
      <alignment horizontal="left"/>
    </xf>
    <xf numFmtId="0" fontId="11" fillId="5" borderId="18" xfId="3" applyFont="1" applyFill="1" applyBorder="1" applyAlignment="1">
      <alignment horizontal="left"/>
    </xf>
    <xf numFmtId="0" fontId="11" fillId="5" borderId="19" xfId="3" applyFont="1" applyFill="1" applyBorder="1" applyAlignment="1">
      <alignment horizontal="left"/>
    </xf>
    <xf numFmtId="0" fontId="11" fillId="5" borderId="12" xfId="2" applyFont="1" applyBorder="1" applyAlignment="1">
      <alignment horizontal="justify" vertical="top" wrapText="1"/>
    </xf>
    <xf numFmtId="0" fontId="11" fillId="5" borderId="13" xfId="2" applyFont="1" applyBorder="1" applyAlignment="1">
      <alignment horizontal="justify" vertical="top" wrapText="1"/>
    </xf>
    <xf numFmtId="0" fontId="11" fillId="5" borderId="14" xfId="2" applyFont="1" applyBorder="1" applyAlignment="1">
      <alignment horizontal="justify" vertical="top" wrapText="1"/>
    </xf>
    <xf numFmtId="0" fontId="11" fillId="5" borderId="15" xfId="2" applyFont="1" applyBorder="1" applyAlignment="1">
      <alignment horizontal="justify" vertical="top" wrapText="1"/>
    </xf>
    <xf numFmtId="0" fontId="11" fillId="5" borderId="11" xfId="2" applyFont="1" applyBorder="1" applyAlignment="1">
      <alignment horizontal="justify" vertical="top" wrapText="1"/>
    </xf>
    <xf numFmtId="0" fontId="11" fillId="5" borderId="16" xfId="2" applyFont="1" applyBorder="1" applyAlignment="1">
      <alignment horizontal="justify" vertical="top" wrapText="1"/>
    </xf>
    <xf numFmtId="0" fontId="12" fillId="5" borderId="12" xfId="2" applyFont="1" applyBorder="1" applyAlignment="1">
      <alignment horizontal="justify" vertical="top" wrapText="1"/>
    </xf>
    <xf numFmtId="0" fontId="12" fillId="5" borderId="13" xfId="2" applyFont="1" applyBorder="1" applyAlignment="1">
      <alignment horizontal="justify" vertical="top" wrapText="1"/>
    </xf>
    <xf numFmtId="0" fontId="12" fillId="5" borderId="14" xfId="2" applyFont="1" applyBorder="1" applyAlignment="1">
      <alignment horizontal="justify" vertical="top" wrapText="1"/>
    </xf>
    <xf numFmtId="0" fontId="12" fillId="5" borderId="15" xfId="2" applyFont="1" applyBorder="1" applyAlignment="1">
      <alignment horizontal="justify" vertical="top" wrapText="1"/>
    </xf>
    <xf numFmtId="0" fontId="12" fillId="5" borderId="11" xfId="2" applyFont="1" applyBorder="1" applyAlignment="1">
      <alignment horizontal="justify" vertical="top" wrapText="1"/>
    </xf>
    <xf numFmtId="0" fontId="12" fillId="5" borderId="16" xfId="2" applyFont="1" applyBorder="1" applyAlignment="1">
      <alignment horizontal="justify" vertical="top" wrapText="1"/>
    </xf>
    <xf numFmtId="0" fontId="11" fillId="5" borderId="17" xfId="2" applyFont="1" applyBorder="1" applyAlignment="1">
      <alignment horizontal="justify" vertical="top" wrapText="1"/>
    </xf>
    <xf numFmtId="0" fontId="11" fillId="5" borderId="18" xfId="2" applyFont="1" applyBorder="1" applyAlignment="1">
      <alignment horizontal="justify" vertical="top" wrapText="1"/>
    </xf>
    <xf numFmtId="0" fontId="11" fillId="5" borderId="19" xfId="2" applyFont="1" applyBorder="1" applyAlignment="1">
      <alignment horizontal="justify" vertical="top" wrapText="1"/>
    </xf>
    <xf numFmtId="0" fontId="17" fillId="0" borderId="1" xfId="1" applyFont="1" applyAlignment="1">
      <alignment horizontal="left"/>
    </xf>
  </cellXfs>
  <cellStyles count="4">
    <cellStyle name="Commentaire" xfId="2" builtinId="10"/>
    <cellStyle name="Normal" xfId="0" builtinId="0"/>
    <cellStyle name="Texte explicatif" xfId="3" builtinId="53"/>
    <cellStyle name="Titre 1" xfId="1" builtinId="16"/>
  </cellStyles>
  <dxfs count="10">
    <dxf>
      <font>
        <i/>
      </font>
    </dxf>
    <dxf>
      <font>
        <b/>
        <strike val="0"/>
        <outline val="0"/>
        <shadow val="0"/>
        <u val="none"/>
        <vertAlign val="baseline"/>
        <sz val="11"/>
        <color theme="3" tint="0.39997558519241921"/>
        <name val="Calibri"/>
        <scheme val="minor"/>
      </font>
    </dxf>
    <dxf>
      <font>
        <i/>
      </font>
    </dxf>
    <dxf>
      <font>
        <b/>
        <strike val="0"/>
        <outline val="0"/>
        <shadow val="0"/>
        <u val="none"/>
        <vertAlign val="baseline"/>
        <sz val="11"/>
        <color theme="3" tint="0.39997558519241921"/>
        <name val="Calibri"/>
        <scheme val="minor"/>
      </font>
    </dxf>
    <dxf>
      <font>
        <i/>
      </font>
    </dxf>
    <dxf>
      <font>
        <b/>
        <strike val="0"/>
        <outline val="0"/>
        <shadow val="0"/>
        <u val="none"/>
        <vertAlign val="baseline"/>
        <sz val="11"/>
        <color theme="3" tint="0.399975585192419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 tint="0.39997558519241921"/>
        <name val="Calibri"/>
        <scheme val="minor"/>
      </font>
      <alignment horizontal="right" vertical="bottom" textRotation="0" wrapText="0" relative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9" defaultPivotStyle="PivotStyleLight16"/>
  <colors>
    <mruColors>
      <color rgb="FF0DFF01"/>
      <color rgb="FF9966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5</xdr:row>
      <xdr:rowOff>19051</xdr:rowOff>
    </xdr:from>
    <xdr:to>
      <xdr:col>2</xdr:col>
      <xdr:colOff>381000</xdr:colOff>
      <xdr:row>5</xdr:row>
      <xdr:rowOff>161925</xdr:rowOff>
    </xdr:to>
    <xdr:sp macro="" textlink="">
      <xdr:nvSpPr>
        <xdr:cNvPr id="2" name="Étoile à 7 branches 1"/>
        <xdr:cNvSpPr/>
      </xdr:nvSpPr>
      <xdr:spPr>
        <a:xfrm>
          <a:off x="1514475" y="109537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5</xdr:row>
      <xdr:rowOff>19051</xdr:rowOff>
    </xdr:from>
    <xdr:to>
      <xdr:col>1</xdr:col>
      <xdr:colOff>371475</xdr:colOff>
      <xdr:row>5</xdr:row>
      <xdr:rowOff>161925</xdr:rowOff>
    </xdr:to>
    <xdr:sp macro="" textlink="">
      <xdr:nvSpPr>
        <xdr:cNvPr id="4" name="Secteurs 3"/>
        <xdr:cNvSpPr/>
      </xdr:nvSpPr>
      <xdr:spPr>
        <a:xfrm>
          <a:off x="600075" y="109537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5</xdr:row>
      <xdr:rowOff>28575</xdr:rowOff>
    </xdr:from>
    <xdr:to>
      <xdr:col>4</xdr:col>
      <xdr:colOff>1514475</xdr:colOff>
      <xdr:row>5</xdr:row>
      <xdr:rowOff>171449</xdr:rowOff>
    </xdr:to>
    <xdr:sp macro="" textlink="">
      <xdr:nvSpPr>
        <xdr:cNvPr id="5" name="Secteurs 4"/>
        <xdr:cNvSpPr/>
      </xdr:nvSpPr>
      <xdr:spPr>
        <a:xfrm>
          <a:off x="4600575" y="11144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6</xdr:row>
      <xdr:rowOff>28575</xdr:rowOff>
    </xdr:from>
    <xdr:to>
      <xdr:col>4</xdr:col>
      <xdr:colOff>1504950</xdr:colOff>
      <xdr:row>6</xdr:row>
      <xdr:rowOff>171449</xdr:rowOff>
    </xdr:to>
    <xdr:sp macro="" textlink="">
      <xdr:nvSpPr>
        <xdr:cNvPr id="6" name="Étoile à 7 branches 5"/>
        <xdr:cNvSpPr/>
      </xdr:nvSpPr>
      <xdr:spPr>
        <a:xfrm>
          <a:off x="4581525" y="13144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1362075</xdr:colOff>
      <xdr:row>17</xdr:row>
      <xdr:rowOff>28575</xdr:rowOff>
    </xdr:from>
    <xdr:to>
      <xdr:col>4</xdr:col>
      <xdr:colOff>1514475</xdr:colOff>
      <xdr:row>17</xdr:row>
      <xdr:rowOff>171449</xdr:rowOff>
    </xdr:to>
    <xdr:sp macro="" textlink="">
      <xdr:nvSpPr>
        <xdr:cNvPr id="17" name="Secteurs 16"/>
        <xdr:cNvSpPr/>
      </xdr:nvSpPr>
      <xdr:spPr>
        <a:xfrm>
          <a:off x="4600575" y="110490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18</xdr:row>
      <xdr:rowOff>28575</xdr:rowOff>
    </xdr:from>
    <xdr:to>
      <xdr:col>4</xdr:col>
      <xdr:colOff>1504950</xdr:colOff>
      <xdr:row>18</xdr:row>
      <xdr:rowOff>171449</xdr:rowOff>
    </xdr:to>
    <xdr:sp macro="" textlink="">
      <xdr:nvSpPr>
        <xdr:cNvPr id="18" name="Étoile à 7 branches 17"/>
        <xdr:cNvSpPr/>
      </xdr:nvSpPr>
      <xdr:spPr>
        <a:xfrm>
          <a:off x="4581525" y="12954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10</xdr:col>
      <xdr:colOff>1362075</xdr:colOff>
      <xdr:row>17</xdr:row>
      <xdr:rowOff>28575</xdr:rowOff>
    </xdr:from>
    <xdr:to>
      <xdr:col>10</xdr:col>
      <xdr:colOff>1514475</xdr:colOff>
      <xdr:row>17</xdr:row>
      <xdr:rowOff>171449</xdr:rowOff>
    </xdr:to>
    <xdr:sp macro="" textlink="">
      <xdr:nvSpPr>
        <xdr:cNvPr id="21" name="Secteurs 20"/>
        <xdr:cNvSpPr/>
      </xdr:nvSpPr>
      <xdr:spPr>
        <a:xfrm>
          <a:off x="4600575" y="110490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1343025</xdr:colOff>
      <xdr:row>18</xdr:row>
      <xdr:rowOff>28575</xdr:rowOff>
    </xdr:from>
    <xdr:to>
      <xdr:col>10</xdr:col>
      <xdr:colOff>1504950</xdr:colOff>
      <xdr:row>18</xdr:row>
      <xdr:rowOff>171449</xdr:rowOff>
    </xdr:to>
    <xdr:sp macro="" textlink="">
      <xdr:nvSpPr>
        <xdr:cNvPr id="22" name="Étoile à 7 branches 21"/>
        <xdr:cNvSpPr/>
      </xdr:nvSpPr>
      <xdr:spPr>
        <a:xfrm>
          <a:off x="4581525" y="12954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1362075</xdr:colOff>
      <xdr:row>25</xdr:row>
      <xdr:rowOff>28575</xdr:rowOff>
    </xdr:from>
    <xdr:to>
      <xdr:col>4</xdr:col>
      <xdr:colOff>1514475</xdr:colOff>
      <xdr:row>25</xdr:row>
      <xdr:rowOff>171449</xdr:rowOff>
    </xdr:to>
    <xdr:sp macro="" textlink="">
      <xdr:nvSpPr>
        <xdr:cNvPr id="25" name="Secteurs 24"/>
        <xdr:cNvSpPr/>
      </xdr:nvSpPr>
      <xdr:spPr>
        <a:xfrm>
          <a:off x="4219575" y="110490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26</xdr:row>
      <xdr:rowOff>28575</xdr:rowOff>
    </xdr:from>
    <xdr:to>
      <xdr:col>4</xdr:col>
      <xdr:colOff>1504950</xdr:colOff>
      <xdr:row>26</xdr:row>
      <xdr:rowOff>171449</xdr:rowOff>
    </xdr:to>
    <xdr:sp macro="" textlink="">
      <xdr:nvSpPr>
        <xdr:cNvPr id="26" name="Étoile à 7 branches 25"/>
        <xdr:cNvSpPr/>
      </xdr:nvSpPr>
      <xdr:spPr>
        <a:xfrm>
          <a:off x="4200525" y="12954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1362075</xdr:colOff>
      <xdr:row>33</xdr:row>
      <xdr:rowOff>28575</xdr:rowOff>
    </xdr:from>
    <xdr:to>
      <xdr:col>4</xdr:col>
      <xdr:colOff>1514475</xdr:colOff>
      <xdr:row>33</xdr:row>
      <xdr:rowOff>171449</xdr:rowOff>
    </xdr:to>
    <xdr:sp macro="" textlink="">
      <xdr:nvSpPr>
        <xdr:cNvPr id="33" name="Secteurs 32"/>
        <xdr:cNvSpPr/>
      </xdr:nvSpPr>
      <xdr:spPr>
        <a:xfrm>
          <a:off x="4219575" y="47529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34</xdr:row>
      <xdr:rowOff>28575</xdr:rowOff>
    </xdr:from>
    <xdr:to>
      <xdr:col>4</xdr:col>
      <xdr:colOff>1504950</xdr:colOff>
      <xdr:row>34</xdr:row>
      <xdr:rowOff>171449</xdr:rowOff>
    </xdr:to>
    <xdr:sp macro="" textlink="">
      <xdr:nvSpPr>
        <xdr:cNvPr id="34" name="Étoile à 7 branches 33"/>
        <xdr:cNvSpPr/>
      </xdr:nvSpPr>
      <xdr:spPr>
        <a:xfrm>
          <a:off x="4200525" y="49530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10</xdr:col>
      <xdr:colOff>1362075</xdr:colOff>
      <xdr:row>33</xdr:row>
      <xdr:rowOff>28575</xdr:rowOff>
    </xdr:from>
    <xdr:to>
      <xdr:col>10</xdr:col>
      <xdr:colOff>1514475</xdr:colOff>
      <xdr:row>33</xdr:row>
      <xdr:rowOff>171449</xdr:rowOff>
    </xdr:to>
    <xdr:sp macro="" textlink="">
      <xdr:nvSpPr>
        <xdr:cNvPr id="37" name="Secteurs 36"/>
        <xdr:cNvSpPr/>
      </xdr:nvSpPr>
      <xdr:spPr>
        <a:xfrm>
          <a:off x="4219575" y="63531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1343025</xdr:colOff>
      <xdr:row>34</xdr:row>
      <xdr:rowOff>28575</xdr:rowOff>
    </xdr:from>
    <xdr:to>
      <xdr:col>10</xdr:col>
      <xdr:colOff>1504950</xdr:colOff>
      <xdr:row>34</xdr:row>
      <xdr:rowOff>171449</xdr:rowOff>
    </xdr:to>
    <xdr:sp macro="" textlink="">
      <xdr:nvSpPr>
        <xdr:cNvPr id="38" name="Étoile à 7 branches 37"/>
        <xdr:cNvSpPr/>
      </xdr:nvSpPr>
      <xdr:spPr>
        <a:xfrm>
          <a:off x="4200525" y="65532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16</xdr:col>
      <xdr:colOff>1362075</xdr:colOff>
      <xdr:row>17</xdr:row>
      <xdr:rowOff>28575</xdr:rowOff>
    </xdr:from>
    <xdr:to>
      <xdr:col>16</xdr:col>
      <xdr:colOff>1514475</xdr:colOff>
      <xdr:row>17</xdr:row>
      <xdr:rowOff>171449</xdr:rowOff>
    </xdr:to>
    <xdr:sp macro="" textlink="">
      <xdr:nvSpPr>
        <xdr:cNvPr id="45" name="Secteurs 44"/>
        <xdr:cNvSpPr/>
      </xdr:nvSpPr>
      <xdr:spPr>
        <a:xfrm>
          <a:off x="4219575" y="110490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1343025</xdr:colOff>
      <xdr:row>18</xdr:row>
      <xdr:rowOff>28575</xdr:rowOff>
    </xdr:from>
    <xdr:to>
      <xdr:col>16</xdr:col>
      <xdr:colOff>1504950</xdr:colOff>
      <xdr:row>18</xdr:row>
      <xdr:rowOff>171449</xdr:rowOff>
    </xdr:to>
    <xdr:sp macro="" textlink="">
      <xdr:nvSpPr>
        <xdr:cNvPr id="46" name="Étoile à 7 branches 45"/>
        <xdr:cNvSpPr/>
      </xdr:nvSpPr>
      <xdr:spPr>
        <a:xfrm>
          <a:off x="4200525" y="12954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16</xdr:col>
      <xdr:colOff>1362075</xdr:colOff>
      <xdr:row>17</xdr:row>
      <xdr:rowOff>28575</xdr:rowOff>
    </xdr:from>
    <xdr:to>
      <xdr:col>16</xdr:col>
      <xdr:colOff>1514475</xdr:colOff>
      <xdr:row>17</xdr:row>
      <xdr:rowOff>171449</xdr:rowOff>
    </xdr:to>
    <xdr:sp macro="" textlink="">
      <xdr:nvSpPr>
        <xdr:cNvPr id="49" name="Secteurs 48"/>
        <xdr:cNvSpPr/>
      </xdr:nvSpPr>
      <xdr:spPr>
        <a:xfrm>
          <a:off x="3952875" y="110490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1343025</xdr:colOff>
      <xdr:row>18</xdr:row>
      <xdr:rowOff>28575</xdr:rowOff>
    </xdr:from>
    <xdr:to>
      <xdr:col>16</xdr:col>
      <xdr:colOff>1504950</xdr:colOff>
      <xdr:row>18</xdr:row>
      <xdr:rowOff>171449</xdr:rowOff>
    </xdr:to>
    <xdr:sp macro="" textlink="">
      <xdr:nvSpPr>
        <xdr:cNvPr id="50" name="Étoile à 7 branches 49"/>
        <xdr:cNvSpPr/>
      </xdr:nvSpPr>
      <xdr:spPr>
        <a:xfrm>
          <a:off x="3933825" y="12954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17</xdr:row>
      <xdr:rowOff>19051</xdr:rowOff>
    </xdr:from>
    <xdr:to>
      <xdr:col>2</xdr:col>
      <xdr:colOff>381000</xdr:colOff>
      <xdr:row>17</xdr:row>
      <xdr:rowOff>161925</xdr:rowOff>
    </xdr:to>
    <xdr:sp macro="" textlink="">
      <xdr:nvSpPr>
        <xdr:cNvPr id="53" name="Étoile à 7 branches 52"/>
        <xdr:cNvSpPr/>
      </xdr:nvSpPr>
      <xdr:spPr>
        <a:xfrm>
          <a:off x="1514475" y="109537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17</xdr:row>
      <xdr:rowOff>19051</xdr:rowOff>
    </xdr:from>
    <xdr:to>
      <xdr:col>1</xdr:col>
      <xdr:colOff>371475</xdr:colOff>
      <xdr:row>17</xdr:row>
      <xdr:rowOff>161925</xdr:rowOff>
    </xdr:to>
    <xdr:sp macro="" textlink="">
      <xdr:nvSpPr>
        <xdr:cNvPr id="54" name="Secteurs 53"/>
        <xdr:cNvSpPr/>
      </xdr:nvSpPr>
      <xdr:spPr>
        <a:xfrm>
          <a:off x="600075" y="109537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219075</xdr:colOff>
      <xdr:row>17</xdr:row>
      <xdr:rowOff>19051</xdr:rowOff>
    </xdr:from>
    <xdr:to>
      <xdr:col>8</xdr:col>
      <xdr:colOff>381000</xdr:colOff>
      <xdr:row>17</xdr:row>
      <xdr:rowOff>161925</xdr:rowOff>
    </xdr:to>
    <xdr:sp macro="" textlink="">
      <xdr:nvSpPr>
        <xdr:cNvPr id="57" name="Étoile à 7 branches 56"/>
        <xdr:cNvSpPr/>
      </xdr:nvSpPr>
      <xdr:spPr>
        <a:xfrm>
          <a:off x="1514475" y="109537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219075</xdr:colOff>
      <xdr:row>17</xdr:row>
      <xdr:rowOff>19051</xdr:rowOff>
    </xdr:from>
    <xdr:to>
      <xdr:col>7</xdr:col>
      <xdr:colOff>371475</xdr:colOff>
      <xdr:row>17</xdr:row>
      <xdr:rowOff>161925</xdr:rowOff>
    </xdr:to>
    <xdr:sp macro="" textlink="">
      <xdr:nvSpPr>
        <xdr:cNvPr id="58" name="Secteurs 57"/>
        <xdr:cNvSpPr/>
      </xdr:nvSpPr>
      <xdr:spPr>
        <a:xfrm>
          <a:off x="600075" y="109537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219075</xdr:colOff>
      <xdr:row>17</xdr:row>
      <xdr:rowOff>19051</xdr:rowOff>
    </xdr:from>
    <xdr:to>
      <xdr:col>14</xdr:col>
      <xdr:colOff>381000</xdr:colOff>
      <xdr:row>17</xdr:row>
      <xdr:rowOff>161925</xdr:rowOff>
    </xdr:to>
    <xdr:sp macro="" textlink="">
      <xdr:nvSpPr>
        <xdr:cNvPr id="59" name="Étoile à 7 branches 58"/>
        <xdr:cNvSpPr/>
      </xdr:nvSpPr>
      <xdr:spPr>
        <a:xfrm>
          <a:off x="1514475" y="109537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13</xdr:col>
      <xdr:colOff>219075</xdr:colOff>
      <xdr:row>17</xdr:row>
      <xdr:rowOff>19051</xdr:rowOff>
    </xdr:from>
    <xdr:to>
      <xdr:col>13</xdr:col>
      <xdr:colOff>371475</xdr:colOff>
      <xdr:row>17</xdr:row>
      <xdr:rowOff>161925</xdr:rowOff>
    </xdr:to>
    <xdr:sp macro="" textlink="">
      <xdr:nvSpPr>
        <xdr:cNvPr id="60" name="Secteurs 59"/>
        <xdr:cNvSpPr/>
      </xdr:nvSpPr>
      <xdr:spPr>
        <a:xfrm>
          <a:off x="600075" y="109537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219075</xdr:colOff>
      <xdr:row>25</xdr:row>
      <xdr:rowOff>19051</xdr:rowOff>
    </xdr:from>
    <xdr:to>
      <xdr:col>2</xdr:col>
      <xdr:colOff>381000</xdr:colOff>
      <xdr:row>25</xdr:row>
      <xdr:rowOff>161925</xdr:rowOff>
    </xdr:to>
    <xdr:sp macro="" textlink="">
      <xdr:nvSpPr>
        <xdr:cNvPr id="61" name="Étoile à 7 branches 60"/>
        <xdr:cNvSpPr/>
      </xdr:nvSpPr>
      <xdr:spPr>
        <a:xfrm>
          <a:off x="1514475" y="31432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25</xdr:row>
      <xdr:rowOff>19051</xdr:rowOff>
    </xdr:from>
    <xdr:to>
      <xdr:col>1</xdr:col>
      <xdr:colOff>371475</xdr:colOff>
      <xdr:row>25</xdr:row>
      <xdr:rowOff>161925</xdr:rowOff>
    </xdr:to>
    <xdr:sp macro="" textlink="">
      <xdr:nvSpPr>
        <xdr:cNvPr id="62" name="Secteurs 61"/>
        <xdr:cNvSpPr/>
      </xdr:nvSpPr>
      <xdr:spPr>
        <a:xfrm>
          <a:off x="600075" y="47434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219075</xdr:colOff>
      <xdr:row>33</xdr:row>
      <xdr:rowOff>19051</xdr:rowOff>
    </xdr:from>
    <xdr:to>
      <xdr:col>2</xdr:col>
      <xdr:colOff>381000</xdr:colOff>
      <xdr:row>33</xdr:row>
      <xdr:rowOff>161925</xdr:rowOff>
    </xdr:to>
    <xdr:sp macro="" textlink="">
      <xdr:nvSpPr>
        <xdr:cNvPr id="67" name="Étoile à 7 branches 66"/>
        <xdr:cNvSpPr/>
      </xdr:nvSpPr>
      <xdr:spPr>
        <a:xfrm>
          <a:off x="1514475" y="47434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33</xdr:row>
      <xdr:rowOff>19051</xdr:rowOff>
    </xdr:from>
    <xdr:to>
      <xdr:col>1</xdr:col>
      <xdr:colOff>371475</xdr:colOff>
      <xdr:row>33</xdr:row>
      <xdr:rowOff>161925</xdr:rowOff>
    </xdr:to>
    <xdr:sp macro="" textlink="">
      <xdr:nvSpPr>
        <xdr:cNvPr id="68" name="Secteurs 67"/>
        <xdr:cNvSpPr/>
      </xdr:nvSpPr>
      <xdr:spPr>
        <a:xfrm>
          <a:off x="600075" y="47434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219075</xdr:colOff>
      <xdr:row>33</xdr:row>
      <xdr:rowOff>19051</xdr:rowOff>
    </xdr:from>
    <xdr:to>
      <xdr:col>8</xdr:col>
      <xdr:colOff>381000</xdr:colOff>
      <xdr:row>33</xdr:row>
      <xdr:rowOff>161925</xdr:rowOff>
    </xdr:to>
    <xdr:sp macro="" textlink="">
      <xdr:nvSpPr>
        <xdr:cNvPr id="69" name="Étoile à 7 branches 68"/>
        <xdr:cNvSpPr/>
      </xdr:nvSpPr>
      <xdr:spPr>
        <a:xfrm>
          <a:off x="1514475" y="63436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219075</xdr:colOff>
      <xdr:row>33</xdr:row>
      <xdr:rowOff>19051</xdr:rowOff>
    </xdr:from>
    <xdr:to>
      <xdr:col>7</xdr:col>
      <xdr:colOff>371475</xdr:colOff>
      <xdr:row>33</xdr:row>
      <xdr:rowOff>161925</xdr:rowOff>
    </xdr:to>
    <xdr:sp macro="" textlink="">
      <xdr:nvSpPr>
        <xdr:cNvPr id="70" name="Secteurs 69"/>
        <xdr:cNvSpPr/>
      </xdr:nvSpPr>
      <xdr:spPr>
        <a:xfrm>
          <a:off x="600075" y="63436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114</xdr:row>
      <xdr:rowOff>28575</xdr:rowOff>
    </xdr:from>
    <xdr:to>
      <xdr:col>4</xdr:col>
      <xdr:colOff>1514475</xdr:colOff>
      <xdr:row>114</xdr:row>
      <xdr:rowOff>171449</xdr:rowOff>
    </xdr:to>
    <xdr:sp macro="" textlink="">
      <xdr:nvSpPr>
        <xdr:cNvPr id="119" name="Secteurs 118"/>
        <xdr:cNvSpPr/>
      </xdr:nvSpPr>
      <xdr:spPr>
        <a:xfrm>
          <a:off x="3952875" y="63531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115</xdr:row>
      <xdr:rowOff>28575</xdr:rowOff>
    </xdr:from>
    <xdr:to>
      <xdr:col>4</xdr:col>
      <xdr:colOff>1504950</xdr:colOff>
      <xdr:row>115</xdr:row>
      <xdr:rowOff>171449</xdr:rowOff>
    </xdr:to>
    <xdr:sp macro="" textlink="">
      <xdr:nvSpPr>
        <xdr:cNvPr id="120" name="Étoile à 7 branches 119"/>
        <xdr:cNvSpPr/>
      </xdr:nvSpPr>
      <xdr:spPr>
        <a:xfrm>
          <a:off x="3933825" y="65532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114</xdr:row>
      <xdr:rowOff>19051</xdr:rowOff>
    </xdr:from>
    <xdr:to>
      <xdr:col>2</xdr:col>
      <xdr:colOff>381000</xdr:colOff>
      <xdr:row>114</xdr:row>
      <xdr:rowOff>161925</xdr:rowOff>
    </xdr:to>
    <xdr:sp macro="" textlink="">
      <xdr:nvSpPr>
        <xdr:cNvPr id="121" name="Étoile à 7 branches 120"/>
        <xdr:cNvSpPr/>
      </xdr:nvSpPr>
      <xdr:spPr>
        <a:xfrm>
          <a:off x="1514475" y="63436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114</xdr:row>
      <xdr:rowOff>19051</xdr:rowOff>
    </xdr:from>
    <xdr:to>
      <xdr:col>1</xdr:col>
      <xdr:colOff>371475</xdr:colOff>
      <xdr:row>114</xdr:row>
      <xdr:rowOff>161925</xdr:rowOff>
    </xdr:to>
    <xdr:sp macro="" textlink="">
      <xdr:nvSpPr>
        <xdr:cNvPr id="122" name="Secteurs 121"/>
        <xdr:cNvSpPr/>
      </xdr:nvSpPr>
      <xdr:spPr>
        <a:xfrm>
          <a:off x="600075" y="63436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122</xdr:row>
      <xdr:rowOff>28575</xdr:rowOff>
    </xdr:from>
    <xdr:to>
      <xdr:col>4</xdr:col>
      <xdr:colOff>1514475</xdr:colOff>
      <xdr:row>122</xdr:row>
      <xdr:rowOff>171449</xdr:rowOff>
    </xdr:to>
    <xdr:sp macro="" textlink="">
      <xdr:nvSpPr>
        <xdr:cNvPr id="131" name="Secteurs 130"/>
        <xdr:cNvSpPr/>
      </xdr:nvSpPr>
      <xdr:spPr>
        <a:xfrm>
          <a:off x="3952875" y="83724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123</xdr:row>
      <xdr:rowOff>28575</xdr:rowOff>
    </xdr:from>
    <xdr:to>
      <xdr:col>4</xdr:col>
      <xdr:colOff>1504950</xdr:colOff>
      <xdr:row>123</xdr:row>
      <xdr:rowOff>171449</xdr:rowOff>
    </xdr:to>
    <xdr:sp macro="" textlink="">
      <xdr:nvSpPr>
        <xdr:cNvPr id="132" name="Étoile à 7 branches 131"/>
        <xdr:cNvSpPr/>
      </xdr:nvSpPr>
      <xdr:spPr>
        <a:xfrm>
          <a:off x="3933825" y="85725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122</xdr:row>
      <xdr:rowOff>19051</xdr:rowOff>
    </xdr:from>
    <xdr:to>
      <xdr:col>2</xdr:col>
      <xdr:colOff>381000</xdr:colOff>
      <xdr:row>122</xdr:row>
      <xdr:rowOff>161925</xdr:rowOff>
    </xdr:to>
    <xdr:sp macro="" textlink="">
      <xdr:nvSpPr>
        <xdr:cNvPr id="133" name="Étoile à 7 branches 132"/>
        <xdr:cNvSpPr/>
      </xdr:nvSpPr>
      <xdr:spPr>
        <a:xfrm>
          <a:off x="1514475" y="83629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122</xdr:row>
      <xdr:rowOff>19051</xdr:rowOff>
    </xdr:from>
    <xdr:to>
      <xdr:col>1</xdr:col>
      <xdr:colOff>371475</xdr:colOff>
      <xdr:row>122</xdr:row>
      <xdr:rowOff>161925</xdr:rowOff>
    </xdr:to>
    <xdr:sp macro="" textlink="">
      <xdr:nvSpPr>
        <xdr:cNvPr id="134" name="Secteurs 133"/>
        <xdr:cNvSpPr/>
      </xdr:nvSpPr>
      <xdr:spPr>
        <a:xfrm>
          <a:off x="600075" y="83629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130</xdr:row>
      <xdr:rowOff>28575</xdr:rowOff>
    </xdr:from>
    <xdr:to>
      <xdr:col>4</xdr:col>
      <xdr:colOff>1514475</xdr:colOff>
      <xdr:row>130</xdr:row>
      <xdr:rowOff>171449</xdr:rowOff>
    </xdr:to>
    <xdr:sp macro="" textlink="">
      <xdr:nvSpPr>
        <xdr:cNvPr id="143" name="Secteurs 142"/>
        <xdr:cNvSpPr/>
      </xdr:nvSpPr>
      <xdr:spPr>
        <a:xfrm>
          <a:off x="3952875" y="99726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131</xdr:row>
      <xdr:rowOff>28575</xdr:rowOff>
    </xdr:from>
    <xdr:to>
      <xdr:col>4</xdr:col>
      <xdr:colOff>1504950</xdr:colOff>
      <xdr:row>131</xdr:row>
      <xdr:rowOff>171449</xdr:rowOff>
    </xdr:to>
    <xdr:sp macro="" textlink="">
      <xdr:nvSpPr>
        <xdr:cNvPr id="144" name="Étoile à 7 branches 143"/>
        <xdr:cNvSpPr/>
      </xdr:nvSpPr>
      <xdr:spPr>
        <a:xfrm>
          <a:off x="3933825" y="101727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130</xdr:row>
      <xdr:rowOff>19051</xdr:rowOff>
    </xdr:from>
    <xdr:to>
      <xdr:col>2</xdr:col>
      <xdr:colOff>381000</xdr:colOff>
      <xdr:row>130</xdr:row>
      <xdr:rowOff>161925</xdr:rowOff>
    </xdr:to>
    <xdr:sp macro="" textlink="">
      <xdr:nvSpPr>
        <xdr:cNvPr id="145" name="Étoile à 7 branches 144"/>
        <xdr:cNvSpPr/>
      </xdr:nvSpPr>
      <xdr:spPr>
        <a:xfrm>
          <a:off x="1514475" y="99631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130</xdr:row>
      <xdr:rowOff>19051</xdr:rowOff>
    </xdr:from>
    <xdr:to>
      <xdr:col>1</xdr:col>
      <xdr:colOff>371475</xdr:colOff>
      <xdr:row>130</xdr:row>
      <xdr:rowOff>161925</xdr:rowOff>
    </xdr:to>
    <xdr:sp macro="" textlink="">
      <xdr:nvSpPr>
        <xdr:cNvPr id="146" name="Secteurs 145"/>
        <xdr:cNvSpPr/>
      </xdr:nvSpPr>
      <xdr:spPr>
        <a:xfrm>
          <a:off x="600075" y="99631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232</xdr:row>
      <xdr:rowOff>28575</xdr:rowOff>
    </xdr:from>
    <xdr:to>
      <xdr:col>4</xdr:col>
      <xdr:colOff>1514475</xdr:colOff>
      <xdr:row>232</xdr:row>
      <xdr:rowOff>171449</xdr:rowOff>
    </xdr:to>
    <xdr:sp macro="" textlink="">
      <xdr:nvSpPr>
        <xdr:cNvPr id="155" name="Secteurs 154"/>
        <xdr:cNvSpPr/>
      </xdr:nvSpPr>
      <xdr:spPr>
        <a:xfrm>
          <a:off x="3952875" y="106108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233</xdr:row>
      <xdr:rowOff>28575</xdr:rowOff>
    </xdr:from>
    <xdr:to>
      <xdr:col>4</xdr:col>
      <xdr:colOff>1504950</xdr:colOff>
      <xdr:row>233</xdr:row>
      <xdr:rowOff>171449</xdr:rowOff>
    </xdr:to>
    <xdr:sp macro="" textlink="">
      <xdr:nvSpPr>
        <xdr:cNvPr id="156" name="Étoile à 7 branches 155"/>
        <xdr:cNvSpPr/>
      </xdr:nvSpPr>
      <xdr:spPr>
        <a:xfrm>
          <a:off x="3933825" y="108108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232</xdr:row>
      <xdr:rowOff>19051</xdr:rowOff>
    </xdr:from>
    <xdr:to>
      <xdr:col>2</xdr:col>
      <xdr:colOff>381000</xdr:colOff>
      <xdr:row>232</xdr:row>
      <xdr:rowOff>161925</xdr:rowOff>
    </xdr:to>
    <xdr:sp macro="" textlink="">
      <xdr:nvSpPr>
        <xdr:cNvPr id="157" name="Étoile à 7 branches 156"/>
        <xdr:cNvSpPr/>
      </xdr:nvSpPr>
      <xdr:spPr>
        <a:xfrm>
          <a:off x="1514475" y="106013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232</xdr:row>
      <xdr:rowOff>19051</xdr:rowOff>
    </xdr:from>
    <xdr:to>
      <xdr:col>1</xdr:col>
      <xdr:colOff>371475</xdr:colOff>
      <xdr:row>232</xdr:row>
      <xdr:rowOff>161925</xdr:rowOff>
    </xdr:to>
    <xdr:sp macro="" textlink="">
      <xdr:nvSpPr>
        <xdr:cNvPr id="158" name="Secteurs 157"/>
        <xdr:cNvSpPr/>
      </xdr:nvSpPr>
      <xdr:spPr>
        <a:xfrm>
          <a:off x="600075" y="106013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240</xdr:row>
      <xdr:rowOff>28575</xdr:rowOff>
    </xdr:from>
    <xdr:to>
      <xdr:col>4</xdr:col>
      <xdr:colOff>1514475</xdr:colOff>
      <xdr:row>240</xdr:row>
      <xdr:rowOff>171449</xdr:rowOff>
    </xdr:to>
    <xdr:sp macro="" textlink="">
      <xdr:nvSpPr>
        <xdr:cNvPr id="167" name="Secteurs 166"/>
        <xdr:cNvSpPr/>
      </xdr:nvSpPr>
      <xdr:spPr>
        <a:xfrm>
          <a:off x="3952875" y="122110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241</xdr:row>
      <xdr:rowOff>28575</xdr:rowOff>
    </xdr:from>
    <xdr:to>
      <xdr:col>4</xdr:col>
      <xdr:colOff>1504950</xdr:colOff>
      <xdr:row>241</xdr:row>
      <xdr:rowOff>171449</xdr:rowOff>
    </xdr:to>
    <xdr:sp macro="" textlink="">
      <xdr:nvSpPr>
        <xdr:cNvPr id="168" name="Étoile à 7 branches 167"/>
        <xdr:cNvSpPr/>
      </xdr:nvSpPr>
      <xdr:spPr>
        <a:xfrm>
          <a:off x="3933825" y="124110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240</xdr:row>
      <xdr:rowOff>19051</xdr:rowOff>
    </xdr:from>
    <xdr:to>
      <xdr:col>2</xdr:col>
      <xdr:colOff>381000</xdr:colOff>
      <xdr:row>240</xdr:row>
      <xdr:rowOff>161925</xdr:rowOff>
    </xdr:to>
    <xdr:sp macro="" textlink="">
      <xdr:nvSpPr>
        <xdr:cNvPr id="169" name="Étoile à 7 branches 168"/>
        <xdr:cNvSpPr/>
      </xdr:nvSpPr>
      <xdr:spPr>
        <a:xfrm>
          <a:off x="1514475" y="122015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240</xdr:row>
      <xdr:rowOff>19051</xdr:rowOff>
    </xdr:from>
    <xdr:to>
      <xdr:col>1</xdr:col>
      <xdr:colOff>371475</xdr:colOff>
      <xdr:row>240</xdr:row>
      <xdr:rowOff>161925</xdr:rowOff>
    </xdr:to>
    <xdr:sp macro="" textlink="">
      <xdr:nvSpPr>
        <xdr:cNvPr id="170" name="Secteurs 169"/>
        <xdr:cNvSpPr/>
      </xdr:nvSpPr>
      <xdr:spPr>
        <a:xfrm>
          <a:off x="600075" y="122015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248</xdr:row>
      <xdr:rowOff>28575</xdr:rowOff>
    </xdr:from>
    <xdr:to>
      <xdr:col>4</xdr:col>
      <xdr:colOff>1514475</xdr:colOff>
      <xdr:row>248</xdr:row>
      <xdr:rowOff>171449</xdr:rowOff>
    </xdr:to>
    <xdr:sp macro="" textlink="">
      <xdr:nvSpPr>
        <xdr:cNvPr id="179" name="Secteurs 178"/>
        <xdr:cNvSpPr/>
      </xdr:nvSpPr>
      <xdr:spPr>
        <a:xfrm>
          <a:off x="3952875" y="138112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249</xdr:row>
      <xdr:rowOff>28575</xdr:rowOff>
    </xdr:from>
    <xdr:to>
      <xdr:col>4</xdr:col>
      <xdr:colOff>1504950</xdr:colOff>
      <xdr:row>249</xdr:row>
      <xdr:rowOff>171449</xdr:rowOff>
    </xdr:to>
    <xdr:sp macro="" textlink="">
      <xdr:nvSpPr>
        <xdr:cNvPr id="180" name="Étoile à 7 branches 179"/>
        <xdr:cNvSpPr/>
      </xdr:nvSpPr>
      <xdr:spPr>
        <a:xfrm>
          <a:off x="3933825" y="140112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248</xdr:row>
      <xdr:rowOff>19051</xdr:rowOff>
    </xdr:from>
    <xdr:to>
      <xdr:col>2</xdr:col>
      <xdr:colOff>381000</xdr:colOff>
      <xdr:row>248</xdr:row>
      <xdr:rowOff>161925</xdr:rowOff>
    </xdr:to>
    <xdr:sp macro="" textlink="">
      <xdr:nvSpPr>
        <xdr:cNvPr id="181" name="Étoile à 7 branches 180"/>
        <xdr:cNvSpPr/>
      </xdr:nvSpPr>
      <xdr:spPr>
        <a:xfrm>
          <a:off x="1514475" y="138017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248</xdr:row>
      <xdr:rowOff>19051</xdr:rowOff>
    </xdr:from>
    <xdr:to>
      <xdr:col>1</xdr:col>
      <xdr:colOff>371475</xdr:colOff>
      <xdr:row>248</xdr:row>
      <xdr:rowOff>161925</xdr:rowOff>
    </xdr:to>
    <xdr:sp macro="" textlink="">
      <xdr:nvSpPr>
        <xdr:cNvPr id="182" name="Secteurs 181"/>
        <xdr:cNvSpPr/>
      </xdr:nvSpPr>
      <xdr:spPr>
        <a:xfrm>
          <a:off x="600075" y="138017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41</xdr:row>
      <xdr:rowOff>28575</xdr:rowOff>
    </xdr:from>
    <xdr:to>
      <xdr:col>4</xdr:col>
      <xdr:colOff>1514475</xdr:colOff>
      <xdr:row>41</xdr:row>
      <xdr:rowOff>171449</xdr:rowOff>
    </xdr:to>
    <xdr:sp macro="" textlink="">
      <xdr:nvSpPr>
        <xdr:cNvPr id="191" name="Secteurs 190"/>
        <xdr:cNvSpPr/>
      </xdr:nvSpPr>
      <xdr:spPr>
        <a:xfrm>
          <a:off x="3952875" y="25241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42</xdr:row>
      <xdr:rowOff>28575</xdr:rowOff>
    </xdr:from>
    <xdr:to>
      <xdr:col>4</xdr:col>
      <xdr:colOff>1504950</xdr:colOff>
      <xdr:row>42</xdr:row>
      <xdr:rowOff>171449</xdr:rowOff>
    </xdr:to>
    <xdr:sp macro="" textlink="">
      <xdr:nvSpPr>
        <xdr:cNvPr id="192" name="Étoile à 7 branches 191"/>
        <xdr:cNvSpPr/>
      </xdr:nvSpPr>
      <xdr:spPr>
        <a:xfrm>
          <a:off x="3933825" y="27241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41</xdr:row>
      <xdr:rowOff>19051</xdr:rowOff>
    </xdr:from>
    <xdr:to>
      <xdr:col>2</xdr:col>
      <xdr:colOff>381000</xdr:colOff>
      <xdr:row>41</xdr:row>
      <xdr:rowOff>161925</xdr:rowOff>
    </xdr:to>
    <xdr:sp macro="" textlink="">
      <xdr:nvSpPr>
        <xdr:cNvPr id="193" name="Étoile à 7 branches 192"/>
        <xdr:cNvSpPr/>
      </xdr:nvSpPr>
      <xdr:spPr>
        <a:xfrm>
          <a:off x="1514475" y="25146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41</xdr:row>
      <xdr:rowOff>19051</xdr:rowOff>
    </xdr:from>
    <xdr:to>
      <xdr:col>1</xdr:col>
      <xdr:colOff>371475</xdr:colOff>
      <xdr:row>41</xdr:row>
      <xdr:rowOff>161925</xdr:rowOff>
    </xdr:to>
    <xdr:sp macro="" textlink="">
      <xdr:nvSpPr>
        <xdr:cNvPr id="194" name="Secteurs 193"/>
        <xdr:cNvSpPr/>
      </xdr:nvSpPr>
      <xdr:spPr>
        <a:xfrm>
          <a:off x="600075" y="25146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1362075</xdr:colOff>
      <xdr:row>25</xdr:row>
      <xdr:rowOff>28575</xdr:rowOff>
    </xdr:from>
    <xdr:to>
      <xdr:col>10</xdr:col>
      <xdr:colOff>1514475</xdr:colOff>
      <xdr:row>25</xdr:row>
      <xdr:rowOff>171449</xdr:rowOff>
    </xdr:to>
    <xdr:sp macro="" textlink="">
      <xdr:nvSpPr>
        <xdr:cNvPr id="195" name="Secteurs 194"/>
        <xdr:cNvSpPr/>
      </xdr:nvSpPr>
      <xdr:spPr>
        <a:xfrm>
          <a:off x="3952875" y="25241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1343025</xdr:colOff>
      <xdr:row>26</xdr:row>
      <xdr:rowOff>28575</xdr:rowOff>
    </xdr:from>
    <xdr:to>
      <xdr:col>10</xdr:col>
      <xdr:colOff>1504950</xdr:colOff>
      <xdr:row>26</xdr:row>
      <xdr:rowOff>171449</xdr:rowOff>
    </xdr:to>
    <xdr:sp macro="" textlink="">
      <xdr:nvSpPr>
        <xdr:cNvPr id="196" name="Étoile à 7 branches 195"/>
        <xdr:cNvSpPr/>
      </xdr:nvSpPr>
      <xdr:spPr>
        <a:xfrm>
          <a:off x="3933825" y="27241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8</xdr:col>
      <xdr:colOff>219075</xdr:colOff>
      <xdr:row>25</xdr:row>
      <xdr:rowOff>19051</xdr:rowOff>
    </xdr:from>
    <xdr:to>
      <xdr:col>8</xdr:col>
      <xdr:colOff>381000</xdr:colOff>
      <xdr:row>25</xdr:row>
      <xdr:rowOff>161925</xdr:rowOff>
    </xdr:to>
    <xdr:sp macro="" textlink="">
      <xdr:nvSpPr>
        <xdr:cNvPr id="197" name="Étoile à 7 branches 196"/>
        <xdr:cNvSpPr/>
      </xdr:nvSpPr>
      <xdr:spPr>
        <a:xfrm>
          <a:off x="1514475" y="25146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219075</xdr:colOff>
      <xdr:row>25</xdr:row>
      <xdr:rowOff>19051</xdr:rowOff>
    </xdr:from>
    <xdr:to>
      <xdr:col>7</xdr:col>
      <xdr:colOff>371475</xdr:colOff>
      <xdr:row>25</xdr:row>
      <xdr:rowOff>161925</xdr:rowOff>
    </xdr:to>
    <xdr:sp macro="" textlink="">
      <xdr:nvSpPr>
        <xdr:cNvPr id="198" name="Secteurs 197"/>
        <xdr:cNvSpPr/>
      </xdr:nvSpPr>
      <xdr:spPr>
        <a:xfrm>
          <a:off x="600075" y="25146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138</xdr:row>
      <xdr:rowOff>28575</xdr:rowOff>
    </xdr:from>
    <xdr:to>
      <xdr:col>4</xdr:col>
      <xdr:colOff>1514475</xdr:colOff>
      <xdr:row>138</xdr:row>
      <xdr:rowOff>171449</xdr:rowOff>
    </xdr:to>
    <xdr:sp macro="" textlink="">
      <xdr:nvSpPr>
        <xdr:cNvPr id="199" name="Secteurs 198"/>
        <xdr:cNvSpPr/>
      </xdr:nvSpPr>
      <xdr:spPr>
        <a:xfrm>
          <a:off x="3952875" y="138398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139</xdr:row>
      <xdr:rowOff>28575</xdr:rowOff>
    </xdr:from>
    <xdr:to>
      <xdr:col>4</xdr:col>
      <xdr:colOff>1504950</xdr:colOff>
      <xdr:row>139</xdr:row>
      <xdr:rowOff>171449</xdr:rowOff>
    </xdr:to>
    <xdr:sp macro="" textlink="">
      <xdr:nvSpPr>
        <xdr:cNvPr id="200" name="Étoile à 7 branches 199"/>
        <xdr:cNvSpPr/>
      </xdr:nvSpPr>
      <xdr:spPr>
        <a:xfrm>
          <a:off x="3933825" y="140398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138</xdr:row>
      <xdr:rowOff>19051</xdr:rowOff>
    </xdr:from>
    <xdr:to>
      <xdr:col>2</xdr:col>
      <xdr:colOff>381000</xdr:colOff>
      <xdr:row>138</xdr:row>
      <xdr:rowOff>161925</xdr:rowOff>
    </xdr:to>
    <xdr:sp macro="" textlink="">
      <xdr:nvSpPr>
        <xdr:cNvPr id="201" name="Étoile à 7 branches 200"/>
        <xdr:cNvSpPr/>
      </xdr:nvSpPr>
      <xdr:spPr>
        <a:xfrm>
          <a:off x="1514475" y="138303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138</xdr:row>
      <xdr:rowOff>19051</xdr:rowOff>
    </xdr:from>
    <xdr:to>
      <xdr:col>1</xdr:col>
      <xdr:colOff>371475</xdr:colOff>
      <xdr:row>138</xdr:row>
      <xdr:rowOff>161925</xdr:rowOff>
    </xdr:to>
    <xdr:sp macro="" textlink="">
      <xdr:nvSpPr>
        <xdr:cNvPr id="202" name="Secteurs 201"/>
        <xdr:cNvSpPr/>
      </xdr:nvSpPr>
      <xdr:spPr>
        <a:xfrm>
          <a:off x="600075" y="138303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1362075</xdr:colOff>
      <xdr:row>114</xdr:row>
      <xdr:rowOff>28575</xdr:rowOff>
    </xdr:from>
    <xdr:to>
      <xdr:col>10</xdr:col>
      <xdr:colOff>1514475</xdr:colOff>
      <xdr:row>114</xdr:row>
      <xdr:rowOff>171449</xdr:rowOff>
    </xdr:to>
    <xdr:sp macro="" textlink="">
      <xdr:nvSpPr>
        <xdr:cNvPr id="203" name="Secteurs 202"/>
        <xdr:cNvSpPr/>
      </xdr:nvSpPr>
      <xdr:spPr>
        <a:xfrm>
          <a:off x="3952875" y="106394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1343025</xdr:colOff>
      <xdr:row>115</xdr:row>
      <xdr:rowOff>28575</xdr:rowOff>
    </xdr:from>
    <xdr:to>
      <xdr:col>10</xdr:col>
      <xdr:colOff>1504950</xdr:colOff>
      <xdr:row>115</xdr:row>
      <xdr:rowOff>171449</xdr:rowOff>
    </xdr:to>
    <xdr:sp macro="" textlink="">
      <xdr:nvSpPr>
        <xdr:cNvPr id="204" name="Étoile à 7 branches 203"/>
        <xdr:cNvSpPr/>
      </xdr:nvSpPr>
      <xdr:spPr>
        <a:xfrm>
          <a:off x="3933825" y="108394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8</xdr:col>
      <xdr:colOff>219075</xdr:colOff>
      <xdr:row>114</xdr:row>
      <xdr:rowOff>19051</xdr:rowOff>
    </xdr:from>
    <xdr:to>
      <xdr:col>8</xdr:col>
      <xdr:colOff>381000</xdr:colOff>
      <xdr:row>114</xdr:row>
      <xdr:rowOff>161925</xdr:rowOff>
    </xdr:to>
    <xdr:sp macro="" textlink="">
      <xdr:nvSpPr>
        <xdr:cNvPr id="205" name="Étoile à 7 branches 204"/>
        <xdr:cNvSpPr/>
      </xdr:nvSpPr>
      <xdr:spPr>
        <a:xfrm>
          <a:off x="1514475" y="106299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219075</xdr:colOff>
      <xdr:row>114</xdr:row>
      <xdr:rowOff>19051</xdr:rowOff>
    </xdr:from>
    <xdr:to>
      <xdr:col>7</xdr:col>
      <xdr:colOff>371475</xdr:colOff>
      <xdr:row>114</xdr:row>
      <xdr:rowOff>161925</xdr:rowOff>
    </xdr:to>
    <xdr:sp macro="" textlink="">
      <xdr:nvSpPr>
        <xdr:cNvPr id="206" name="Secteurs 205"/>
        <xdr:cNvSpPr/>
      </xdr:nvSpPr>
      <xdr:spPr>
        <a:xfrm>
          <a:off x="600075" y="106299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1362075</xdr:colOff>
      <xdr:row>130</xdr:row>
      <xdr:rowOff>28575</xdr:rowOff>
    </xdr:from>
    <xdr:to>
      <xdr:col>10</xdr:col>
      <xdr:colOff>1514475</xdr:colOff>
      <xdr:row>130</xdr:row>
      <xdr:rowOff>171449</xdr:rowOff>
    </xdr:to>
    <xdr:sp macro="" textlink="">
      <xdr:nvSpPr>
        <xdr:cNvPr id="207" name="Secteurs 206"/>
        <xdr:cNvSpPr/>
      </xdr:nvSpPr>
      <xdr:spPr>
        <a:xfrm>
          <a:off x="3952875" y="138398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1343025</xdr:colOff>
      <xdr:row>131</xdr:row>
      <xdr:rowOff>28575</xdr:rowOff>
    </xdr:from>
    <xdr:to>
      <xdr:col>10</xdr:col>
      <xdr:colOff>1504950</xdr:colOff>
      <xdr:row>131</xdr:row>
      <xdr:rowOff>171449</xdr:rowOff>
    </xdr:to>
    <xdr:sp macro="" textlink="">
      <xdr:nvSpPr>
        <xdr:cNvPr id="208" name="Étoile à 7 branches 207"/>
        <xdr:cNvSpPr/>
      </xdr:nvSpPr>
      <xdr:spPr>
        <a:xfrm>
          <a:off x="3933825" y="140398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8</xdr:col>
      <xdr:colOff>219075</xdr:colOff>
      <xdr:row>130</xdr:row>
      <xdr:rowOff>19051</xdr:rowOff>
    </xdr:from>
    <xdr:to>
      <xdr:col>8</xdr:col>
      <xdr:colOff>381000</xdr:colOff>
      <xdr:row>130</xdr:row>
      <xdr:rowOff>161925</xdr:rowOff>
    </xdr:to>
    <xdr:sp macro="" textlink="">
      <xdr:nvSpPr>
        <xdr:cNvPr id="209" name="Étoile à 7 branches 208"/>
        <xdr:cNvSpPr/>
      </xdr:nvSpPr>
      <xdr:spPr>
        <a:xfrm>
          <a:off x="1514475" y="138303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219075</xdr:colOff>
      <xdr:row>130</xdr:row>
      <xdr:rowOff>19051</xdr:rowOff>
    </xdr:from>
    <xdr:to>
      <xdr:col>7</xdr:col>
      <xdr:colOff>371475</xdr:colOff>
      <xdr:row>130</xdr:row>
      <xdr:rowOff>161925</xdr:rowOff>
    </xdr:to>
    <xdr:sp macro="" textlink="">
      <xdr:nvSpPr>
        <xdr:cNvPr id="210" name="Secteurs 209"/>
        <xdr:cNvSpPr/>
      </xdr:nvSpPr>
      <xdr:spPr>
        <a:xfrm>
          <a:off x="600075" y="138303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1362075</xdr:colOff>
      <xdr:row>138</xdr:row>
      <xdr:rowOff>28575</xdr:rowOff>
    </xdr:from>
    <xdr:to>
      <xdr:col>10</xdr:col>
      <xdr:colOff>1514475</xdr:colOff>
      <xdr:row>138</xdr:row>
      <xdr:rowOff>171449</xdr:rowOff>
    </xdr:to>
    <xdr:sp macro="" textlink="">
      <xdr:nvSpPr>
        <xdr:cNvPr id="211" name="Secteurs 210"/>
        <xdr:cNvSpPr/>
      </xdr:nvSpPr>
      <xdr:spPr>
        <a:xfrm>
          <a:off x="3952875" y="154400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1343025</xdr:colOff>
      <xdr:row>139</xdr:row>
      <xdr:rowOff>28575</xdr:rowOff>
    </xdr:from>
    <xdr:to>
      <xdr:col>10</xdr:col>
      <xdr:colOff>1504950</xdr:colOff>
      <xdr:row>139</xdr:row>
      <xdr:rowOff>171449</xdr:rowOff>
    </xdr:to>
    <xdr:sp macro="" textlink="">
      <xdr:nvSpPr>
        <xdr:cNvPr id="212" name="Étoile à 7 branches 211"/>
        <xdr:cNvSpPr/>
      </xdr:nvSpPr>
      <xdr:spPr>
        <a:xfrm>
          <a:off x="3933825" y="156400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8</xdr:col>
      <xdr:colOff>219075</xdr:colOff>
      <xdr:row>138</xdr:row>
      <xdr:rowOff>19051</xdr:rowOff>
    </xdr:from>
    <xdr:to>
      <xdr:col>8</xdr:col>
      <xdr:colOff>381000</xdr:colOff>
      <xdr:row>138</xdr:row>
      <xdr:rowOff>161925</xdr:rowOff>
    </xdr:to>
    <xdr:sp macro="" textlink="">
      <xdr:nvSpPr>
        <xdr:cNvPr id="213" name="Étoile à 7 branches 212"/>
        <xdr:cNvSpPr/>
      </xdr:nvSpPr>
      <xdr:spPr>
        <a:xfrm>
          <a:off x="1514475" y="154305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219075</xdr:colOff>
      <xdr:row>138</xdr:row>
      <xdr:rowOff>19051</xdr:rowOff>
    </xdr:from>
    <xdr:to>
      <xdr:col>7</xdr:col>
      <xdr:colOff>371475</xdr:colOff>
      <xdr:row>138</xdr:row>
      <xdr:rowOff>161925</xdr:rowOff>
    </xdr:to>
    <xdr:sp macro="" textlink="">
      <xdr:nvSpPr>
        <xdr:cNvPr id="214" name="Secteurs 213"/>
        <xdr:cNvSpPr/>
      </xdr:nvSpPr>
      <xdr:spPr>
        <a:xfrm>
          <a:off x="600075" y="154305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1362075</xdr:colOff>
      <xdr:row>138</xdr:row>
      <xdr:rowOff>28575</xdr:rowOff>
    </xdr:from>
    <xdr:to>
      <xdr:col>16</xdr:col>
      <xdr:colOff>1514475</xdr:colOff>
      <xdr:row>138</xdr:row>
      <xdr:rowOff>171449</xdr:rowOff>
    </xdr:to>
    <xdr:sp macro="" textlink="">
      <xdr:nvSpPr>
        <xdr:cNvPr id="219" name="Secteurs 218"/>
        <xdr:cNvSpPr/>
      </xdr:nvSpPr>
      <xdr:spPr>
        <a:xfrm>
          <a:off x="8420100" y="154400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1343025</xdr:colOff>
      <xdr:row>139</xdr:row>
      <xdr:rowOff>28575</xdr:rowOff>
    </xdr:from>
    <xdr:to>
      <xdr:col>16</xdr:col>
      <xdr:colOff>1504950</xdr:colOff>
      <xdr:row>139</xdr:row>
      <xdr:rowOff>171449</xdr:rowOff>
    </xdr:to>
    <xdr:sp macro="" textlink="">
      <xdr:nvSpPr>
        <xdr:cNvPr id="220" name="Étoile à 7 branches 219"/>
        <xdr:cNvSpPr/>
      </xdr:nvSpPr>
      <xdr:spPr>
        <a:xfrm>
          <a:off x="8401050" y="156400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14</xdr:col>
      <xdr:colOff>219075</xdr:colOff>
      <xdr:row>138</xdr:row>
      <xdr:rowOff>19051</xdr:rowOff>
    </xdr:from>
    <xdr:to>
      <xdr:col>14</xdr:col>
      <xdr:colOff>381000</xdr:colOff>
      <xdr:row>138</xdr:row>
      <xdr:rowOff>161925</xdr:rowOff>
    </xdr:to>
    <xdr:sp macro="" textlink="">
      <xdr:nvSpPr>
        <xdr:cNvPr id="221" name="Étoile à 7 branches 220"/>
        <xdr:cNvSpPr/>
      </xdr:nvSpPr>
      <xdr:spPr>
        <a:xfrm>
          <a:off x="5981700" y="154305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13</xdr:col>
      <xdr:colOff>219075</xdr:colOff>
      <xdr:row>138</xdr:row>
      <xdr:rowOff>19051</xdr:rowOff>
    </xdr:from>
    <xdr:to>
      <xdr:col>13</xdr:col>
      <xdr:colOff>371475</xdr:colOff>
      <xdr:row>138</xdr:row>
      <xdr:rowOff>161925</xdr:rowOff>
    </xdr:to>
    <xdr:sp macro="" textlink="">
      <xdr:nvSpPr>
        <xdr:cNvPr id="222" name="Secteurs 221"/>
        <xdr:cNvSpPr/>
      </xdr:nvSpPr>
      <xdr:spPr>
        <a:xfrm>
          <a:off x="5067300" y="154305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256</xdr:row>
      <xdr:rowOff>28575</xdr:rowOff>
    </xdr:from>
    <xdr:to>
      <xdr:col>4</xdr:col>
      <xdr:colOff>1514475</xdr:colOff>
      <xdr:row>256</xdr:row>
      <xdr:rowOff>171449</xdr:rowOff>
    </xdr:to>
    <xdr:sp macro="" textlink="">
      <xdr:nvSpPr>
        <xdr:cNvPr id="223" name="Secteurs 222"/>
        <xdr:cNvSpPr/>
      </xdr:nvSpPr>
      <xdr:spPr>
        <a:xfrm>
          <a:off x="3952875" y="233648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257</xdr:row>
      <xdr:rowOff>28575</xdr:rowOff>
    </xdr:from>
    <xdr:to>
      <xdr:col>4</xdr:col>
      <xdr:colOff>1504950</xdr:colOff>
      <xdr:row>257</xdr:row>
      <xdr:rowOff>171449</xdr:rowOff>
    </xdr:to>
    <xdr:sp macro="" textlink="">
      <xdr:nvSpPr>
        <xdr:cNvPr id="224" name="Étoile à 7 branches 223"/>
        <xdr:cNvSpPr/>
      </xdr:nvSpPr>
      <xdr:spPr>
        <a:xfrm>
          <a:off x="3933825" y="235648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256</xdr:row>
      <xdr:rowOff>19051</xdr:rowOff>
    </xdr:from>
    <xdr:to>
      <xdr:col>2</xdr:col>
      <xdr:colOff>381000</xdr:colOff>
      <xdr:row>256</xdr:row>
      <xdr:rowOff>161925</xdr:rowOff>
    </xdr:to>
    <xdr:sp macro="" textlink="">
      <xdr:nvSpPr>
        <xdr:cNvPr id="225" name="Étoile à 7 branches 224"/>
        <xdr:cNvSpPr/>
      </xdr:nvSpPr>
      <xdr:spPr>
        <a:xfrm>
          <a:off x="1514475" y="233553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256</xdr:row>
      <xdr:rowOff>19051</xdr:rowOff>
    </xdr:from>
    <xdr:to>
      <xdr:col>1</xdr:col>
      <xdr:colOff>371475</xdr:colOff>
      <xdr:row>256</xdr:row>
      <xdr:rowOff>161925</xdr:rowOff>
    </xdr:to>
    <xdr:sp macro="" textlink="">
      <xdr:nvSpPr>
        <xdr:cNvPr id="226" name="Secteurs 225"/>
        <xdr:cNvSpPr/>
      </xdr:nvSpPr>
      <xdr:spPr>
        <a:xfrm>
          <a:off x="600075" y="233553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1362075</xdr:colOff>
      <xdr:row>232</xdr:row>
      <xdr:rowOff>28575</xdr:rowOff>
    </xdr:from>
    <xdr:to>
      <xdr:col>10</xdr:col>
      <xdr:colOff>1514475</xdr:colOff>
      <xdr:row>232</xdr:row>
      <xdr:rowOff>171449</xdr:rowOff>
    </xdr:to>
    <xdr:sp macro="" textlink="">
      <xdr:nvSpPr>
        <xdr:cNvPr id="88" name="Secteurs 87"/>
        <xdr:cNvSpPr/>
      </xdr:nvSpPr>
      <xdr:spPr>
        <a:xfrm>
          <a:off x="3952875" y="201644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1343025</xdr:colOff>
      <xdr:row>233</xdr:row>
      <xdr:rowOff>28575</xdr:rowOff>
    </xdr:from>
    <xdr:to>
      <xdr:col>10</xdr:col>
      <xdr:colOff>1504950</xdr:colOff>
      <xdr:row>233</xdr:row>
      <xdr:rowOff>171449</xdr:rowOff>
    </xdr:to>
    <xdr:sp macro="" textlink="">
      <xdr:nvSpPr>
        <xdr:cNvPr id="89" name="Étoile à 7 branches 88"/>
        <xdr:cNvSpPr/>
      </xdr:nvSpPr>
      <xdr:spPr>
        <a:xfrm>
          <a:off x="3933825" y="203644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8</xdr:col>
      <xdr:colOff>219075</xdr:colOff>
      <xdr:row>232</xdr:row>
      <xdr:rowOff>19051</xdr:rowOff>
    </xdr:from>
    <xdr:to>
      <xdr:col>8</xdr:col>
      <xdr:colOff>381000</xdr:colOff>
      <xdr:row>232</xdr:row>
      <xdr:rowOff>161925</xdr:rowOff>
    </xdr:to>
    <xdr:sp macro="" textlink="">
      <xdr:nvSpPr>
        <xdr:cNvPr id="90" name="Étoile à 7 branches 89"/>
        <xdr:cNvSpPr/>
      </xdr:nvSpPr>
      <xdr:spPr>
        <a:xfrm>
          <a:off x="1514475" y="201549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219075</xdr:colOff>
      <xdr:row>232</xdr:row>
      <xdr:rowOff>19051</xdr:rowOff>
    </xdr:from>
    <xdr:to>
      <xdr:col>7</xdr:col>
      <xdr:colOff>371475</xdr:colOff>
      <xdr:row>232</xdr:row>
      <xdr:rowOff>161925</xdr:rowOff>
    </xdr:to>
    <xdr:sp macro="" textlink="">
      <xdr:nvSpPr>
        <xdr:cNvPr id="91" name="Secteurs 90"/>
        <xdr:cNvSpPr/>
      </xdr:nvSpPr>
      <xdr:spPr>
        <a:xfrm>
          <a:off x="600075" y="201549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1362075</xdr:colOff>
      <xdr:row>248</xdr:row>
      <xdr:rowOff>28575</xdr:rowOff>
    </xdr:from>
    <xdr:to>
      <xdr:col>10</xdr:col>
      <xdr:colOff>1514475</xdr:colOff>
      <xdr:row>248</xdr:row>
      <xdr:rowOff>171449</xdr:rowOff>
    </xdr:to>
    <xdr:sp macro="" textlink="">
      <xdr:nvSpPr>
        <xdr:cNvPr id="92" name="Secteurs 91"/>
        <xdr:cNvSpPr/>
      </xdr:nvSpPr>
      <xdr:spPr>
        <a:xfrm>
          <a:off x="3952875" y="233648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1343025</xdr:colOff>
      <xdr:row>249</xdr:row>
      <xdr:rowOff>28575</xdr:rowOff>
    </xdr:from>
    <xdr:to>
      <xdr:col>10</xdr:col>
      <xdr:colOff>1504950</xdr:colOff>
      <xdr:row>249</xdr:row>
      <xdr:rowOff>171449</xdr:rowOff>
    </xdr:to>
    <xdr:sp macro="" textlink="">
      <xdr:nvSpPr>
        <xdr:cNvPr id="93" name="Étoile à 7 branches 92"/>
        <xdr:cNvSpPr/>
      </xdr:nvSpPr>
      <xdr:spPr>
        <a:xfrm>
          <a:off x="3933825" y="235648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8</xdr:col>
      <xdr:colOff>219075</xdr:colOff>
      <xdr:row>248</xdr:row>
      <xdr:rowOff>19051</xdr:rowOff>
    </xdr:from>
    <xdr:to>
      <xdr:col>8</xdr:col>
      <xdr:colOff>381000</xdr:colOff>
      <xdr:row>248</xdr:row>
      <xdr:rowOff>161925</xdr:rowOff>
    </xdr:to>
    <xdr:sp macro="" textlink="">
      <xdr:nvSpPr>
        <xdr:cNvPr id="94" name="Étoile à 7 branches 93"/>
        <xdr:cNvSpPr/>
      </xdr:nvSpPr>
      <xdr:spPr>
        <a:xfrm>
          <a:off x="1514475" y="233553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219075</xdr:colOff>
      <xdr:row>248</xdr:row>
      <xdr:rowOff>19051</xdr:rowOff>
    </xdr:from>
    <xdr:to>
      <xdr:col>7</xdr:col>
      <xdr:colOff>371475</xdr:colOff>
      <xdr:row>248</xdr:row>
      <xdr:rowOff>161925</xdr:rowOff>
    </xdr:to>
    <xdr:sp macro="" textlink="">
      <xdr:nvSpPr>
        <xdr:cNvPr id="95" name="Secteurs 94"/>
        <xdr:cNvSpPr/>
      </xdr:nvSpPr>
      <xdr:spPr>
        <a:xfrm>
          <a:off x="600075" y="233553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1362075</xdr:colOff>
      <xdr:row>248</xdr:row>
      <xdr:rowOff>28575</xdr:rowOff>
    </xdr:from>
    <xdr:to>
      <xdr:col>16</xdr:col>
      <xdr:colOff>1514475</xdr:colOff>
      <xdr:row>248</xdr:row>
      <xdr:rowOff>171449</xdr:rowOff>
    </xdr:to>
    <xdr:sp macro="" textlink="">
      <xdr:nvSpPr>
        <xdr:cNvPr id="96" name="Secteurs 95"/>
        <xdr:cNvSpPr/>
      </xdr:nvSpPr>
      <xdr:spPr>
        <a:xfrm>
          <a:off x="8420100" y="233648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1343025</xdr:colOff>
      <xdr:row>249</xdr:row>
      <xdr:rowOff>28575</xdr:rowOff>
    </xdr:from>
    <xdr:to>
      <xdr:col>16</xdr:col>
      <xdr:colOff>1504950</xdr:colOff>
      <xdr:row>249</xdr:row>
      <xdr:rowOff>171449</xdr:rowOff>
    </xdr:to>
    <xdr:sp macro="" textlink="">
      <xdr:nvSpPr>
        <xdr:cNvPr id="97" name="Étoile à 7 branches 96"/>
        <xdr:cNvSpPr/>
      </xdr:nvSpPr>
      <xdr:spPr>
        <a:xfrm>
          <a:off x="8401050" y="235648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14</xdr:col>
      <xdr:colOff>219075</xdr:colOff>
      <xdr:row>248</xdr:row>
      <xdr:rowOff>19051</xdr:rowOff>
    </xdr:from>
    <xdr:to>
      <xdr:col>14</xdr:col>
      <xdr:colOff>381000</xdr:colOff>
      <xdr:row>248</xdr:row>
      <xdr:rowOff>161925</xdr:rowOff>
    </xdr:to>
    <xdr:sp macro="" textlink="">
      <xdr:nvSpPr>
        <xdr:cNvPr id="98" name="Étoile à 7 branches 97"/>
        <xdr:cNvSpPr/>
      </xdr:nvSpPr>
      <xdr:spPr>
        <a:xfrm>
          <a:off x="5981700" y="233553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13</xdr:col>
      <xdr:colOff>219075</xdr:colOff>
      <xdr:row>248</xdr:row>
      <xdr:rowOff>19051</xdr:rowOff>
    </xdr:from>
    <xdr:to>
      <xdr:col>13</xdr:col>
      <xdr:colOff>371475</xdr:colOff>
      <xdr:row>248</xdr:row>
      <xdr:rowOff>161925</xdr:rowOff>
    </xdr:to>
    <xdr:sp macro="" textlink="">
      <xdr:nvSpPr>
        <xdr:cNvPr id="99" name="Secteurs 98"/>
        <xdr:cNvSpPr/>
      </xdr:nvSpPr>
      <xdr:spPr>
        <a:xfrm>
          <a:off x="5067300" y="233553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1362075</xdr:colOff>
      <xdr:row>256</xdr:row>
      <xdr:rowOff>28575</xdr:rowOff>
    </xdr:from>
    <xdr:to>
      <xdr:col>10</xdr:col>
      <xdr:colOff>1514475</xdr:colOff>
      <xdr:row>256</xdr:row>
      <xdr:rowOff>171449</xdr:rowOff>
    </xdr:to>
    <xdr:sp macro="" textlink="">
      <xdr:nvSpPr>
        <xdr:cNvPr id="100" name="Secteurs 99"/>
        <xdr:cNvSpPr/>
      </xdr:nvSpPr>
      <xdr:spPr>
        <a:xfrm>
          <a:off x="3952875" y="2496502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1343025</xdr:colOff>
      <xdr:row>257</xdr:row>
      <xdr:rowOff>28575</xdr:rowOff>
    </xdr:from>
    <xdr:to>
      <xdr:col>10</xdr:col>
      <xdr:colOff>1504950</xdr:colOff>
      <xdr:row>257</xdr:row>
      <xdr:rowOff>171449</xdr:rowOff>
    </xdr:to>
    <xdr:sp macro="" textlink="">
      <xdr:nvSpPr>
        <xdr:cNvPr id="101" name="Étoile à 7 branches 100"/>
        <xdr:cNvSpPr/>
      </xdr:nvSpPr>
      <xdr:spPr>
        <a:xfrm>
          <a:off x="3933825" y="2516505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8</xdr:col>
      <xdr:colOff>219075</xdr:colOff>
      <xdr:row>256</xdr:row>
      <xdr:rowOff>19051</xdr:rowOff>
    </xdr:from>
    <xdr:to>
      <xdr:col>8</xdr:col>
      <xdr:colOff>381000</xdr:colOff>
      <xdr:row>256</xdr:row>
      <xdr:rowOff>161925</xdr:rowOff>
    </xdr:to>
    <xdr:sp macro="" textlink="">
      <xdr:nvSpPr>
        <xdr:cNvPr id="102" name="Étoile à 7 branches 101"/>
        <xdr:cNvSpPr/>
      </xdr:nvSpPr>
      <xdr:spPr>
        <a:xfrm>
          <a:off x="1514475" y="2495550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219075</xdr:colOff>
      <xdr:row>256</xdr:row>
      <xdr:rowOff>19051</xdr:rowOff>
    </xdr:from>
    <xdr:to>
      <xdr:col>7</xdr:col>
      <xdr:colOff>371475</xdr:colOff>
      <xdr:row>256</xdr:row>
      <xdr:rowOff>161925</xdr:rowOff>
    </xdr:to>
    <xdr:sp macro="" textlink="">
      <xdr:nvSpPr>
        <xdr:cNvPr id="103" name="Secteurs 102"/>
        <xdr:cNvSpPr/>
      </xdr:nvSpPr>
      <xdr:spPr>
        <a:xfrm>
          <a:off x="600075" y="2495550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51</xdr:row>
      <xdr:rowOff>28575</xdr:rowOff>
    </xdr:from>
    <xdr:to>
      <xdr:col>4</xdr:col>
      <xdr:colOff>1514475</xdr:colOff>
      <xdr:row>51</xdr:row>
      <xdr:rowOff>171449</xdr:rowOff>
    </xdr:to>
    <xdr:sp macro="" textlink="">
      <xdr:nvSpPr>
        <xdr:cNvPr id="104" name="Secteurs 103"/>
        <xdr:cNvSpPr/>
      </xdr:nvSpPr>
      <xdr:spPr>
        <a:xfrm>
          <a:off x="3952875" y="61531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52</xdr:row>
      <xdr:rowOff>28575</xdr:rowOff>
    </xdr:from>
    <xdr:to>
      <xdr:col>4</xdr:col>
      <xdr:colOff>1504950</xdr:colOff>
      <xdr:row>52</xdr:row>
      <xdr:rowOff>171449</xdr:rowOff>
    </xdr:to>
    <xdr:sp macro="" textlink="">
      <xdr:nvSpPr>
        <xdr:cNvPr id="105" name="Étoile à 7 branches 104"/>
        <xdr:cNvSpPr/>
      </xdr:nvSpPr>
      <xdr:spPr>
        <a:xfrm>
          <a:off x="3933825" y="63531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51</xdr:row>
      <xdr:rowOff>19051</xdr:rowOff>
    </xdr:from>
    <xdr:to>
      <xdr:col>2</xdr:col>
      <xdr:colOff>381000</xdr:colOff>
      <xdr:row>51</xdr:row>
      <xdr:rowOff>161925</xdr:rowOff>
    </xdr:to>
    <xdr:sp macro="" textlink="">
      <xdr:nvSpPr>
        <xdr:cNvPr id="106" name="Étoile à 7 branches 105"/>
        <xdr:cNvSpPr/>
      </xdr:nvSpPr>
      <xdr:spPr>
        <a:xfrm>
          <a:off x="1514475" y="61436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51</xdr:row>
      <xdr:rowOff>19051</xdr:rowOff>
    </xdr:from>
    <xdr:to>
      <xdr:col>1</xdr:col>
      <xdr:colOff>371475</xdr:colOff>
      <xdr:row>51</xdr:row>
      <xdr:rowOff>161925</xdr:rowOff>
    </xdr:to>
    <xdr:sp macro="" textlink="">
      <xdr:nvSpPr>
        <xdr:cNvPr id="107" name="Secteurs 106"/>
        <xdr:cNvSpPr/>
      </xdr:nvSpPr>
      <xdr:spPr>
        <a:xfrm>
          <a:off x="600075" y="61436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59</xdr:row>
      <xdr:rowOff>28575</xdr:rowOff>
    </xdr:from>
    <xdr:to>
      <xdr:col>4</xdr:col>
      <xdr:colOff>1514475</xdr:colOff>
      <xdr:row>59</xdr:row>
      <xdr:rowOff>171449</xdr:rowOff>
    </xdr:to>
    <xdr:sp macro="" textlink="">
      <xdr:nvSpPr>
        <xdr:cNvPr id="108" name="Secteurs 107"/>
        <xdr:cNvSpPr/>
      </xdr:nvSpPr>
      <xdr:spPr>
        <a:xfrm>
          <a:off x="3952875" y="81819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60</xdr:row>
      <xdr:rowOff>28575</xdr:rowOff>
    </xdr:from>
    <xdr:to>
      <xdr:col>4</xdr:col>
      <xdr:colOff>1504950</xdr:colOff>
      <xdr:row>60</xdr:row>
      <xdr:rowOff>171449</xdr:rowOff>
    </xdr:to>
    <xdr:sp macro="" textlink="">
      <xdr:nvSpPr>
        <xdr:cNvPr id="109" name="Étoile à 7 branches 108"/>
        <xdr:cNvSpPr/>
      </xdr:nvSpPr>
      <xdr:spPr>
        <a:xfrm>
          <a:off x="3933825" y="83820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59</xdr:row>
      <xdr:rowOff>19051</xdr:rowOff>
    </xdr:from>
    <xdr:to>
      <xdr:col>2</xdr:col>
      <xdr:colOff>381000</xdr:colOff>
      <xdr:row>59</xdr:row>
      <xdr:rowOff>161925</xdr:rowOff>
    </xdr:to>
    <xdr:sp macro="" textlink="">
      <xdr:nvSpPr>
        <xdr:cNvPr id="110" name="Étoile à 7 branches 109"/>
        <xdr:cNvSpPr/>
      </xdr:nvSpPr>
      <xdr:spPr>
        <a:xfrm>
          <a:off x="1514475" y="81724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59</xdr:row>
      <xdr:rowOff>19051</xdr:rowOff>
    </xdr:from>
    <xdr:to>
      <xdr:col>1</xdr:col>
      <xdr:colOff>371475</xdr:colOff>
      <xdr:row>59</xdr:row>
      <xdr:rowOff>161925</xdr:rowOff>
    </xdr:to>
    <xdr:sp macro="" textlink="">
      <xdr:nvSpPr>
        <xdr:cNvPr id="111" name="Secteurs 110"/>
        <xdr:cNvSpPr/>
      </xdr:nvSpPr>
      <xdr:spPr>
        <a:xfrm>
          <a:off x="600075" y="81724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67</xdr:row>
      <xdr:rowOff>28575</xdr:rowOff>
    </xdr:from>
    <xdr:to>
      <xdr:col>4</xdr:col>
      <xdr:colOff>1514475</xdr:colOff>
      <xdr:row>67</xdr:row>
      <xdr:rowOff>171449</xdr:rowOff>
    </xdr:to>
    <xdr:sp macro="" textlink="">
      <xdr:nvSpPr>
        <xdr:cNvPr id="112" name="Secteurs 111"/>
        <xdr:cNvSpPr/>
      </xdr:nvSpPr>
      <xdr:spPr>
        <a:xfrm>
          <a:off x="3952875" y="81819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68</xdr:row>
      <xdr:rowOff>28575</xdr:rowOff>
    </xdr:from>
    <xdr:to>
      <xdr:col>4</xdr:col>
      <xdr:colOff>1504950</xdr:colOff>
      <xdr:row>68</xdr:row>
      <xdr:rowOff>171449</xdr:rowOff>
    </xdr:to>
    <xdr:sp macro="" textlink="">
      <xdr:nvSpPr>
        <xdr:cNvPr id="113" name="Étoile à 7 branches 112"/>
        <xdr:cNvSpPr/>
      </xdr:nvSpPr>
      <xdr:spPr>
        <a:xfrm>
          <a:off x="3933825" y="83820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67</xdr:row>
      <xdr:rowOff>19051</xdr:rowOff>
    </xdr:from>
    <xdr:to>
      <xdr:col>2</xdr:col>
      <xdr:colOff>381000</xdr:colOff>
      <xdr:row>67</xdr:row>
      <xdr:rowOff>161925</xdr:rowOff>
    </xdr:to>
    <xdr:sp macro="" textlink="">
      <xdr:nvSpPr>
        <xdr:cNvPr id="114" name="Étoile à 7 branches 113"/>
        <xdr:cNvSpPr/>
      </xdr:nvSpPr>
      <xdr:spPr>
        <a:xfrm>
          <a:off x="1514475" y="81724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67</xdr:row>
      <xdr:rowOff>19051</xdr:rowOff>
    </xdr:from>
    <xdr:to>
      <xdr:col>1</xdr:col>
      <xdr:colOff>371475</xdr:colOff>
      <xdr:row>67</xdr:row>
      <xdr:rowOff>161925</xdr:rowOff>
    </xdr:to>
    <xdr:sp macro="" textlink="">
      <xdr:nvSpPr>
        <xdr:cNvPr id="115" name="Secteurs 114"/>
        <xdr:cNvSpPr/>
      </xdr:nvSpPr>
      <xdr:spPr>
        <a:xfrm>
          <a:off x="600075" y="81724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75</xdr:row>
      <xdr:rowOff>28575</xdr:rowOff>
    </xdr:from>
    <xdr:to>
      <xdr:col>4</xdr:col>
      <xdr:colOff>1514475</xdr:colOff>
      <xdr:row>75</xdr:row>
      <xdr:rowOff>171449</xdr:rowOff>
    </xdr:to>
    <xdr:sp macro="" textlink="">
      <xdr:nvSpPr>
        <xdr:cNvPr id="116" name="Secteurs 115"/>
        <xdr:cNvSpPr/>
      </xdr:nvSpPr>
      <xdr:spPr>
        <a:xfrm>
          <a:off x="3952875" y="81819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76</xdr:row>
      <xdr:rowOff>28575</xdr:rowOff>
    </xdr:from>
    <xdr:to>
      <xdr:col>4</xdr:col>
      <xdr:colOff>1504950</xdr:colOff>
      <xdr:row>76</xdr:row>
      <xdr:rowOff>171449</xdr:rowOff>
    </xdr:to>
    <xdr:sp macro="" textlink="">
      <xdr:nvSpPr>
        <xdr:cNvPr id="117" name="Étoile à 7 branches 116"/>
        <xdr:cNvSpPr/>
      </xdr:nvSpPr>
      <xdr:spPr>
        <a:xfrm>
          <a:off x="3933825" y="83820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75</xdr:row>
      <xdr:rowOff>19051</xdr:rowOff>
    </xdr:from>
    <xdr:to>
      <xdr:col>2</xdr:col>
      <xdr:colOff>381000</xdr:colOff>
      <xdr:row>75</xdr:row>
      <xdr:rowOff>161925</xdr:rowOff>
    </xdr:to>
    <xdr:sp macro="" textlink="">
      <xdr:nvSpPr>
        <xdr:cNvPr id="118" name="Étoile à 7 branches 117"/>
        <xdr:cNvSpPr/>
      </xdr:nvSpPr>
      <xdr:spPr>
        <a:xfrm>
          <a:off x="1514475" y="81724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75</xdr:row>
      <xdr:rowOff>19051</xdr:rowOff>
    </xdr:from>
    <xdr:to>
      <xdr:col>1</xdr:col>
      <xdr:colOff>371475</xdr:colOff>
      <xdr:row>75</xdr:row>
      <xdr:rowOff>161925</xdr:rowOff>
    </xdr:to>
    <xdr:sp macro="" textlink="">
      <xdr:nvSpPr>
        <xdr:cNvPr id="123" name="Secteurs 122"/>
        <xdr:cNvSpPr/>
      </xdr:nvSpPr>
      <xdr:spPr>
        <a:xfrm>
          <a:off x="600075" y="81724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85</xdr:row>
      <xdr:rowOff>28575</xdr:rowOff>
    </xdr:from>
    <xdr:to>
      <xdr:col>4</xdr:col>
      <xdr:colOff>1514475</xdr:colOff>
      <xdr:row>85</xdr:row>
      <xdr:rowOff>171449</xdr:rowOff>
    </xdr:to>
    <xdr:sp macro="" textlink="">
      <xdr:nvSpPr>
        <xdr:cNvPr id="124" name="Secteurs 123"/>
        <xdr:cNvSpPr/>
      </xdr:nvSpPr>
      <xdr:spPr>
        <a:xfrm>
          <a:off x="3952875" y="81819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86</xdr:row>
      <xdr:rowOff>28575</xdr:rowOff>
    </xdr:from>
    <xdr:to>
      <xdr:col>4</xdr:col>
      <xdr:colOff>1504950</xdr:colOff>
      <xdr:row>86</xdr:row>
      <xdr:rowOff>171449</xdr:rowOff>
    </xdr:to>
    <xdr:sp macro="" textlink="">
      <xdr:nvSpPr>
        <xdr:cNvPr id="125" name="Étoile à 7 branches 124"/>
        <xdr:cNvSpPr/>
      </xdr:nvSpPr>
      <xdr:spPr>
        <a:xfrm>
          <a:off x="3933825" y="83820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85</xdr:row>
      <xdr:rowOff>19051</xdr:rowOff>
    </xdr:from>
    <xdr:to>
      <xdr:col>2</xdr:col>
      <xdr:colOff>381000</xdr:colOff>
      <xdr:row>85</xdr:row>
      <xdr:rowOff>161925</xdr:rowOff>
    </xdr:to>
    <xdr:sp macro="" textlink="">
      <xdr:nvSpPr>
        <xdr:cNvPr id="126" name="Étoile à 7 branches 125"/>
        <xdr:cNvSpPr/>
      </xdr:nvSpPr>
      <xdr:spPr>
        <a:xfrm>
          <a:off x="1514475" y="81724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85</xdr:row>
      <xdr:rowOff>19051</xdr:rowOff>
    </xdr:from>
    <xdr:to>
      <xdr:col>1</xdr:col>
      <xdr:colOff>371475</xdr:colOff>
      <xdr:row>85</xdr:row>
      <xdr:rowOff>161925</xdr:rowOff>
    </xdr:to>
    <xdr:sp macro="" textlink="">
      <xdr:nvSpPr>
        <xdr:cNvPr id="127" name="Secteurs 126"/>
        <xdr:cNvSpPr/>
      </xdr:nvSpPr>
      <xdr:spPr>
        <a:xfrm>
          <a:off x="600075" y="81724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93</xdr:row>
      <xdr:rowOff>28575</xdr:rowOff>
    </xdr:from>
    <xdr:to>
      <xdr:col>4</xdr:col>
      <xdr:colOff>1514475</xdr:colOff>
      <xdr:row>93</xdr:row>
      <xdr:rowOff>171449</xdr:rowOff>
    </xdr:to>
    <xdr:sp macro="" textlink="">
      <xdr:nvSpPr>
        <xdr:cNvPr id="128" name="Secteurs 127"/>
        <xdr:cNvSpPr/>
      </xdr:nvSpPr>
      <xdr:spPr>
        <a:xfrm>
          <a:off x="3952875" y="97821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94</xdr:row>
      <xdr:rowOff>28575</xdr:rowOff>
    </xdr:from>
    <xdr:to>
      <xdr:col>4</xdr:col>
      <xdr:colOff>1504950</xdr:colOff>
      <xdr:row>94</xdr:row>
      <xdr:rowOff>171449</xdr:rowOff>
    </xdr:to>
    <xdr:sp macro="" textlink="">
      <xdr:nvSpPr>
        <xdr:cNvPr id="129" name="Étoile à 7 branches 128"/>
        <xdr:cNvSpPr/>
      </xdr:nvSpPr>
      <xdr:spPr>
        <a:xfrm>
          <a:off x="3933825" y="99822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93</xdr:row>
      <xdr:rowOff>19051</xdr:rowOff>
    </xdr:from>
    <xdr:to>
      <xdr:col>2</xdr:col>
      <xdr:colOff>381000</xdr:colOff>
      <xdr:row>93</xdr:row>
      <xdr:rowOff>161925</xdr:rowOff>
    </xdr:to>
    <xdr:sp macro="" textlink="">
      <xdr:nvSpPr>
        <xdr:cNvPr id="130" name="Étoile à 7 branches 129"/>
        <xdr:cNvSpPr/>
      </xdr:nvSpPr>
      <xdr:spPr>
        <a:xfrm>
          <a:off x="1514475" y="97726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93</xdr:row>
      <xdr:rowOff>19051</xdr:rowOff>
    </xdr:from>
    <xdr:to>
      <xdr:col>1</xdr:col>
      <xdr:colOff>371475</xdr:colOff>
      <xdr:row>93</xdr:row>
      <xdr:rowOff>161925</xdr:rowOff>
    </xdr:to>
    <xdr:sp macro="" textlink="">
      <xdr:nvSpPr>
        <xdr:cNvPr id="135" name="Secteurs 134"/>
        <xdr:cNvSpPr/>
      </xdr:nvSpPr>
      <xdr:spPr>
        <a:xfrm>
          <a:off x="600075" y="97726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101</xdr:row>
      <xdr:rowOff>28575</xdr:rowOff>
    </xdr:from>
    <xdr:to>
      <xdr:col>4</xdr:col>
      <xdr:colOff>1514475</xdr:colOff>
      <xdr:row>101</xdr:row>
      <xdr:rowOff>171449</xdr:rowOff>
    </xdr:to>
    <xdr:sp macro="" textlink="">
      <xdr:nvSpPr>
        <xdr:cNvPr id="136" name="Secteurs 135"/>
        <xdr:cNvSpPr/>
      </xdr:nvSpPr>
      <xdr:spPr>
        <a:xfrm>
          <a:off x="3952875" y="113823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102</xdr:row>
      <xdr:rowOff>28575</xdr:rowOff>
    </xdr:from>
    <xdr:to>
      <xdr:col>4</xdr:col>
      <xdr:colOff>1504950</xdr:colOff>
      <xdr:row>102</xdr:row>
      <xdr:rowOff>171449</xdr:rowOff>
    </xdr:to>
    <xdr:sp macro="" textlink="">
      <xdr:nvSpPr>
        <xdr:cNvPr id="137" name="Étoile à 7 branches 136"/>
        <xdr:cNvSpPr/>
      </xdr:nvSpPr>
      <xdr:spPr>
        <a:xfrm>
          <a:off x="3933825" y="115824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101</xdr:row>
      <xdr:rowOff>19051</xdr:rowOff>
    </xdr:from>
    <xdr:to>
      <xdr:col>2</xdr:col>
      <xdr:colOff>381000</xdr:colOff>
      <xdr:row>101</xdr:row>
      <xdr:rowOff>161925</xdr:rowOff>
    </xdr:to>
    <xdr:sp macro="" textlink="">
      <xdr:nvSpPr>
        <xdr:cNvPr id="138" name="Étoile à 7 branches 137"/>
        <xdr:cNvSpPr/>
      </xdr:nvSpPr>
      <xdr:spPr>
        <a:xfrm>
          <a:off x="1514475" y="113728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101</xdr:row>
      <xdr:rowOff>19051</xdr:rowOff>
    </xdr:from>
    <xdr:to>
      <xdr:col>1</xdr:col>
      <xdr:colOff>371475</xdr:colOff>
      <xdr:row>101</xdr:row>
      <xdr:rowOff>161925</xdr:rowOff>
    </xdr:to>
    <xdr:sp macro="" textlink="">
      <xdr:nvSpPr>
        <xdr:cNvPr id="139" name="Secteurs 138"/>
        <xdr:cNvSpPr/>
      </xdr:nvSpPr>
      <xdr:spPr>
        <a:xfrm>
          <a:off x="600075" y="113728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148</xdr:row>
      <xdr:rowOff>28575</xdr:rowOff>
    </xdr:from>
    <xdr:to>
      <xdr:col>4</xdr:col>
      <xdr:colOff>1514475</xdr:colOff>
      <xdr:row>148</xdr:row>
      <xdr:rowOff>171449</xdr:rowOff>
    </xdr:to>
    <xdr:sp macro="" textlink="">
      <xdr:nvSpPr>
        <xdr:cNvPr id="148" name="Secteurs 147"/>
        <xdr:cNvSpPr/>
      </xdr:nvSpPr>
      <xdr:spPr>
        <a:xfrm>
          <a:off x="3952875" y="207930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149</xdr:row>
      <xdr:rowOff>28575</xdr:rowOff>
    </xdr:from>
    <xdr:to>
      <xdr:col>4</xdr:col>
      <xdr:colOff>1504950</xdr:colOff>
      <xdr:row>149</xdr:row>
      <xdr:rowOff>171449</xdr:rowOff>
    </xdr:to>
    <xdr:sp macro="" textlink="">
      <xdr:nvSpPr>
        <xdr:cNvPr id="149" name="Étoile à 7 branches 148"/>
        <xdr:cNvSpPr/>
      </xdr:nvSpPr>
      <xdr:spPr>
        <a:xfrm>
          <a:off x="3933825" y="209931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148</xdr:row>
      <xdr:rowOff>19051</xdr:rowOff>
    </xdr:from>
    <xdr:to>
      <xdr:col>2</xdr:col>
      <xdr:colOff>381000</xdr:colOff>
      <xdr:row>148</xdr:row>
      <xdr:rowOff>161925</xdr:rowOff>
    </xdr:to>
    <xdr:sp macro="" textlink="">
      <xdr:nvSpPr>
        <xdr:cNvPr id="150" name="Étoile à 7 branches 149"/>
        <xdr:cNvSpPr/>
      </xdr:nvSpPr>
      <xdr:spPr>
        <a:xfrm>
          <a:off x="1514475" y="207835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148</xdr:row>
      <xdr:rowOff>19051</xdr:rowOff>
    </xdr:from>
    <xdr:to>
      <xdr:col>1</xdr:col>
      <xdr:colOff>371475</xdr:colOff>
      <xdr:row>148</xdr:row>
      <xdr:rowOff>161925</xdr:rowOff>
    </xdr:to>
    <xdr:sp macro="" textlink="">
      <xdr:nvSpPr>
        <xdr:cNvPr id="151" name="Secteurs 150"/>
        <xdr:cNvSpPr/>
      </xdr:nvSpPr>
      <xdr:spPr>
        <a:xfrm>
          <a:off x="600075" y="207835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156</xdr:row>
      <xdr:rowOff>28575</xdr:rowOff>
    </xdr:from>
    <xdr:to>
      <xdr:col>4</xdr:col>
      <xdr:colOff>1514475</xdr:colOff>
      <xdr:row>156</xdr:row>
      <xdr:rowOff>171449</xdr:rowOff>
    </xdr:to>
    <xdr:sp macro="" textlink="">
      <xdr:nvSpPr>
        <xdr:cNvPr id="152" name="Secteurs 151"/>
        <xdr:cNvSpPr/>
      </xdr:nvSpPr>
      <xdr:spPr>
        <a:xfrm>
          <a:off x="3952875" y="223932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157</xdr:row>
      <xdr:rowOff>28575</xdr:rowOff>
    </xdr:from>
    <xdr:to>
      <xdr:col>4</xdr:col>
      <xdr:colOff>1504950</xdr:colOff>
      <xdr:row>157</xdr:row>
      <xdr:rowOff>171449</xdr:rowOff>
    </xdr:to>
    <xdr:sp macro="" textlink="">
      <xdr:nvSpPr>
        <xdr:cNvPr id="153" name="Étoile à 7 branches 152"/>
        <xdr:cNvSpPr/>
      </xdr:nvSpPr>
      <xdr:spPr>
        <a:xfrm>
          <a:off x="3933825" y="225933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156</xdr:row>
      <xdr:rowOff>19051</xdr:rowOff>
    </xdr:from>
    <xdr:to>
      <xdr:col>2</xdr:col>
      <xdr:colOff>381000</xdr:colOff>
      <xdr:row>156</xdr:row>
      <xdr:rowOff>161925</xdr:rowOff>
    </xdr:to>
    <xdr:sp macro="" textlink="">
      <xdr:nvSpPr>
        <xdr:cNvPr id="154" name="Étoile à 7 branches 153"/>
        <xdr:cNvSpPr/>
      </xdr:nvSpPr>
      <xdr:spPr>
        <a:xfrm>
          <a:off x="1514475" y="223837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156</xdr:row>
      <xdr:rowOff>19051</xdr:rowOff>
    </xdr:from>
    <xdr:to>
      <xdr:col>1</xdr:col>
      <xdr:colOff>371475</xdr:colOff>
      <xdr:row>156</xdr:row>
      <xdr:rowOff>161925</xdr:rowOff>
    </xdr:to>
    <xdr:sp macro="" textlink="">
      <xdr:nvSpPr>
        <xdr:cNvPr id="159" name="Secteurs 158"/>
        <xdr:cNvSpPr/>
      </xdr:nvSpPr>
      <xdr:spPr>
        <a:xfrm>
          <a:off x="600075" y="223837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164</xdr:row>
      <xdr:rowOff>28575</xdr:rowOff>
    </xdr:from>
    <xdr:to>
      <xdr:col>4</xdr:col>
      <xdr:colOff>1514475</xdr:colOff>
      <xdr:row>164</xdr:row>
      <xdr:rowOff>171449</xdr:rowOff>
    </xdr:to>
    <xdr:sp macro="" textlink="">
      <xdr:nvSpPr>
        <xdr:cNvPr id="160" name="Secteurs 159"/>
        <xdr:cNvSpPr/>
      </xdr:nvSpPr>
      <xdr:spPr>
        <a:xfrm>
          <a:off x="3952875" y="239934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165</xdr:row>
      <xdr:rowOff>28575</xdr:rowOff>
    </xdr:from>
    <xdr:to>
      <xdr:col>4</xdr:col>
      <xdr:colOff>1504950</xdr:colOff>
      <xdr:row>165</xdr:row>
      <xdr:rowOff>171449</xdr:rowOff>
    </xdr:to>
    <xdr:sp macro="" textlink="">
      <xdr:nvSpPr>
        <xdr:cNvPr id="161" name="Étoile à 7 branches 160"/>
        <xdr:cNvSpPr/>
      </xdr:nvSpPr>
      <xdr:spPr>
        <a:xfrm>
          <a:off x="3933825" y="241935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164</xdr:row>
      <xdr:rowOff>19051</xdr:rowOff>
    </xdr:from>
    <xdr:to>
      <xdr:col>2</xdr:col>
      <xdr:colOff>381000</xdr:colOff>
      <xdr:row>164</xdr:row>
      <xdr:rowOff>161925</xdr:rowOff>
    </xdr:to>
    <xdr:sp macro="" textlink="">
      <xdr:nvSpPr>
        <xdr:cNvPr id="162" name="Étoile à 7 branches 161"/>
        <xdr:cNvSpPr/>
      </xdr:nvSpPr>
      <xdr:spPr>
        <a:xfrm>
          <a:off x="1514475" y="239839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164</xdr:row>
      <xdr:rowOff>19051</xdr:rowOff>
    </xdr:from>
    <xdr:to>
      <xdr:col>1</xdr:col>
      <xdr:colOff>371475</xdr:colOff>
      <xdr:row>164</xdr:row>
      <xdr:rowOff>161925</xdr:rowOff>
    </xdr:to>
    <xdr:sp macro="" textlink="">
      <xdr:nvSpPr>
        <xdr:cNvPr id="163" name="Secteurs 162"/>
        <xdr:cNvSpPr/>
      </xdr:nvSpPr>
      <xdr:spPr>
        <a:xfrm>
          <a:off x="600075" y="239839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172</xdr:row>
      <xdr:rowOff>28575</xdr:rowOff>
    </xdr:from>
    <xdr:to>
      <xdr:col>4</xdr:col>
      <xdr:colOff>1514475</xdr:colOff>
      <xdr:row>172</xdr:row>
      <xdr:rowOff>171449</xdr:rowOff>
    </xdr:to>
    <xdr:sp macro="" textlink="">
      <xdr:nvSpPr>
        <xdr:cNvPr id="164" name="Secteurs 163"/>
        <xdr:cNvSpPr/>
      </xdr:nvSpPr>
      <xdr:spPr>
        <a:xfrm>
          <a:off x="3952875" y="25593675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173</xdr:row>
      <xdr:rowOff>28575</xdr:rowOff>
    </xdr:from>
    <xdr:to>
      <xdr:col>4</xdr:col>
      <xdr:colOff>1504950</xdr:colOff>
      <xdr:row>173</xdr:row>
      <xdr:rowOff>171449</xdr:rowOff>
    </xdr:to>
    <xdr:sp macro="" textlink="">
      <xdr:nvSpPr>
        <xdr:cNvPr id="165" name="Étoile à 7 branches 164"/>
        <xdr:cNvSpPr/>
      </xdr:nvSpPr>
      <xdr:spPr>
        <a:xfrm>
          <a:off x="3933825" y="25793700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172</xdr:row>
      <xdr:rowOff>19051</xdr:rowOff>
    </xdr:from>
    <xdr:to>
      <xdr:col>2</xdr:col>
      <xdr:colOff>381000</xdr:colOff>
      <xdr:row>172</xdr:row>
      <xdr:rowOff>161925</xdr:rowOff>
    </xdr:to>
    <xdr:sp macro="" textlink="">
      <xdr:nvSpPr>
        <xdr:cNvPr id="166" name="Étoile à 7 branches 165"/>
        <xdr:cNvSpPr/>
      </xdr:nvSpPr>
      <xdr:spPr>
        <a:xfrm>
          <a:off x="1514475" y="25584151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172</xdr:row>
      <xdr:rowOff>19051</xdr:rowOff>
    </xdr:from>
    <xdr:to>
      <xdr:col>1</xdr:col>
      <xdr:colOff>371475</xdr:colOff>
      <xdr:row>172</xdr:row>
      <xdr:rowOff>161925</xdr:rowOff>
    </xdr:to>
    <xdr:sp macro="" textlink="">
      <xdr:nvSpPr>
        <xdr:cNvPr id="171" name="Secteurs 170"/>
        <xdr:cNvSpPr/>
      </xdr:nvSpPr>
      <xdr:spPr>
        <a:xfrm>
          <a:off x="600075" y="25584151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182</xdr:row>
      <xdr:rowOff>28575</xdr:rowOff>
    </xdr:from>
    <xdr:to>
      <xdr:col>4</xdr:col>
      <xdr:colOff>1514475</xdr:colOff>
      <xdr:row>182</xdr:row>
      <xdr:rowOff>171449</xdr:rowOff>
    </xdr:to>
    <xdr:sp macro="" textlink="">
      <xdr:nvSpPr>
        <xdr:cNvPr id="172" name="Secteurs 171"/>
        <xdr:cNvSpPr/>
      </xdr:nvSpPr>
      <xdr:spPr>
        <a:xfrm>
          <a:off x="3952875" y="2762250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183</xdr:row>
      <xdr:rowOff>28575</xdr:rowOff>
    </xdr:from>
    <xdr:to>
      <xdr:col>4</xdr:col>
      <xdr:colOff>1504950</xdr:colOff>
      <xdr:row>183</xdr:row>
      <xdr:rowOff>171449</xdr:rowOff>
    </xdr:to>
    <xdr:sp macro="" textlink="">
      <xdr:nvSpPr>
        <xdr:cNvPr id="173" name="Étoile à 7 branches 172"/>
        <xdr:cNvSpPr/>
      </xdr:nvSpPr>
      <xdr:spPr>
        <a:xfrm>
          <a:off x="3933825" y="2782252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182</xdr:row>
      <xdr:rowOff>19051</xdr:rowOff>
    </xdr:from>
    <xdr:to>
      <xdr:col>2</xdr:col>
      <xdr:colOff>381000</xdr:colOff>
      <xdr:row>182</xdr:row>
      <xdr:rowOff>161925</xdr:rowOff>
    </xdr:to>
    <xdr:sp macro="" textlink="">
      <xdr:nvSpPr>
        <xdr:cNvPr id="174" name="Étoile à 7 branches 173"/>
        <xdr:cNvSpPr/>
      </xdr:nvSpPr>
      <xdr:spPr>
        <a:xfrm>
          <a:off x="1514475" y="2761297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182</xdr:row>
      <xdr:rowOff>19051</xdr:rowOff>
    </xdr:from>
    <xdr:to>
      <xdr:col>1</xdr:col>
      <xdr:colOff>371475</xdr:colOff>
      <xdr:row>182</xdr:row>
      <xdr:rowOff>161925</xdr:rowOff>
    </xdr:to>
    <xdr:sp macro="" textlink="">
      <xdr:nvSpPr>
        <xdr:cNvPr id="175" name="Secteurs 174"/>
        <xdr:cNvSpPr/>
      </xdr:nvSpPr>
      <xdr:spPr>
        <a:xfrm>
          <a:off x="600075" y="2761297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190</xdr:row>
      <xdr:rowOff>28575</xdr:rowOff>
    </xdr:from>
    <xdr:to>
      <xdr:col>4</xdr:col>
      <xdr:colOff>1514475</xdr:colOff>
      <xdr:row>190</xdr:row>
      <xdr:rowOff>171449</xdr:rowOff>
    </xdr:to>
    <xdr:sp macro="" textlink="">
      <xdr:nvSpPr>
        <xdr:cNvPr id="176" name="Secteurs 175"/>
        <xdr:cNvSpPr/>
      </xdr:nvSpPr>
      <xdr:spPr>
        <a:xfrm>
          <a:off x="3952875" y="2922270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191</xdr:row>
      <xdr:rowOff>28575</xdr:rowOff>
    </xdr:from>
    <xdr:to>
      <xdr:col>4</xdr:col>
      <xdr:colOff>1504950</xdr:colOff>
      <xdr:row>191</xdr:row>
      <xdr:rowOff>171449</xdr:rowOff>
    </xdr:to>
    <xdr:sp macro="" textlink="">
      <xdr:nvSpPr>
        <xdr:cNvPr id="177" name="Étoile à 7 branches 176"/>
        <xdr:cNvSpPr/>
      </xdr:nvSpPr>
      <xdr:spPr>
        <a:xfrm>
          <a:off x="3933825" y="2942272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190</xdr:row>
      <xdr:rowOff>19051</xdr:rowOff>
    </xdr:from>
    <xdr:to>
      <xdr:col>2</xdr:col>
      <xdr:colOff>381000</xdr:colOff>
      <xdr:row>190</xdr:row>
      <xdr:rowOff>161925</xdr:rowOff>
    </xdr:to>
    <xdr:sp macro="" textlink="">
      <xdr:nvSpPr>
        <xdr:cNvPr id="178" name="Étoile à 7 branches 177"/>
        <xdr:cNvSpPr/>
      </xdr:nvSpPr>
      <xdr:spPr>
        <a:xfrm>
          <a:off x="1514475" y="2921317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190</xdr:row>
      <xdr:rowOff>19051</xdr:rowOff>
    </xdr:from>
    <xdr:to>
      <xdr:col>1</xdr:col>
      <xdr:colOff>371475</xdr:colOff>
      <xdr:row>190</xdr:row>
      <xdr:rowOff>161925</xdr:rowOff>
    </xdr:to>
    <xdr:sp macro="" textlink="">
      <xdr:nvSpPr>
        <xdr:cNvPr id="183" name="Secteurs 182"/>
        <xdr:cNvSpPr/>
      </xdr:nvSpPr>
      <xdr:spPr>
        <a:xfrm>
          <a:off x="600075" y="2921317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198</xdr:row>
      <xdr:rowOff>28575</xdr:rowOff>
    </xdr:from>
    <xdr:to>
      <xdr:col>4</xdr:col>
      <xdr:colOff>1514475</xdr:colOff>
      <xdr:row>198</xdr:row>
      <xdr:rowOff>171449</xdr:rowOff>
    </xdr:to>
    <xdr:sp macro="" textlink="">
      <xdr:nvSpPr>
        <xdr:cNvPr id="184" name="Secteurs 183"/>
        <xdr:cNvSpPr/>
      </xdr:nvSpPr>
      <xdr:spPr>
        <a:xfrm>
          <a:off x="3952875" y="3082290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199</xdr:row>
      <xdr:rowOff>28575</xdr:rowOff>
    </xdr:from>
    <xdr:to>
      <xdr:col>4</xdr:col>
      <xdr:colOff>1504950</xdr:colOff>
      <xdr:row>199</xdr:row>
      <xdr:rowOff>171449</xdr:rowOff>
    </xdr:to>
    <xdr:sp macro="" textlink="">
      <xdr:nvSpPr>
        <xdr:cNvPr id="185" name="Étoile à 7 branches 184"/>
        <xdr:cNvSpPr/>
      </xdr:nvSpPr>
      <xdr:spPr>
        <a:xfrm>
          <a:off x="3933825" y="3102292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198</xdr:row>
      <xdr:rowOff>19051</xdr:rowOff>
    </xdr:from>
    <xdr:to>
      <xdr:col>2</xdr:col>
      <xdr:colOff>381000</xdr:colOff>
      <xdr:row>198</xdr:row>
      <xdr:rowOff>161925</xdr:rowOff>
    </xdr:to>
    <xdr:sp macro="" textlink="">
      <xdr:nvSpPr>
        <xdr:cNvPr id="186" name="Étoile à 7 branches 185"/>
        <xdr:cNvSpPr/>
      </xdr:nvSpPr>
      <xdr:spPr>
        <a:xfrm>
          <a:off x="1514475" y="3081337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198</xdr:row>
      <xdr:rowOff>19051</xdr:rowOff>
    </xdr:from>
    <xdr:to>
      <xdr:col>1</xdr:col>
      <xdr:colOff>371475</xdr:colOff>
      <xdr:row>198</xdr:row>
      <xdr:rowOff>161925</xdr:rowOff>
    </xdr:to>
    <xdr:sp macro="" textlink="">
      <xdr:nvSpPr>
        <xdr:cNvPr id="187" name="Secteurs 186"/>
        <xdr:cNvSpPr/>
      </xdr:nvSpPr>
      <xdr:spPr>
        <a:xfrm>
          <a:off x="600075" y="3081337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266</xdr:row>
      <xdr:rowOff>28575</xdr:rowOff>
    </xdr:from>
    <xdr:to>
      <xdr:col>4</xdr:col>
      <xdr:colOff>1514475</xdr:colOff>
      <xdr:row>266</xdr:row>
      <xdr:rowOff>171449</xdr:rowOff>
    </xdr:to>
    <xdr:sp macro="" textlink="">
      <xdr:nvSpPr>
        <xdr:cNvPr id="216" name="Secteurs 215"/>
        <xdr:cNvSpPr/>
      </xdr:nvSpPr>
      <xdr:spPr>
        <a:xfrm>
          <a:off x="3952875" y="443293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267</xdr:row>
      <xdr:rowOff>28575</xdr:rowOff>
    </xdr:from>
    <xdr:to>
      <xdr:col>4</xdr:col>
      <xdr:colOff>1504950</xdr:colOff>
      <xdr:row>267</xdr:row>
      <xdr:rowOff>171449</xdr:rowOff>
    </xdr:to>
    <xdr:sp macro="" textlink="">
      <xdr:nvSpPr>
        <xdr:cNvPr id="217" name="Étoile à 7 branches 216"/>
        <xdr:cNvSpPr/>
      </xdr:nvSpPr>
      <xdr:spPr>
        <a:xfrm>
          <a:off x="3933825" y="445293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266</xdr:row>
      <xdr:rowOff>19051</xdr:rowOff>
    </xdr:from>
    <xdr:to>
      <xdr:col>2</xdr:col>
      <xdr:colOff>381000</xdr:colOff>
      <xdr:row>266</xdr:row>
      <xdr:rowOff>161925</xdr:rowOff>
    </xdr:to>
    <xdr:sp macro="" textlink="">
      <xdr:nvSpPr>
        <xdr:cNvPr id="218" name="Étoile à 7 branches 217"/>
        <xdr:cNvSpPr/>
      </xdr:nvSpPr>
      <xdr:spPr>
        <a:xfrm>
          <a:off x="1514475" y="443198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266</xdr:row>
      <xdr:rowOff>19051</xdr:rowOff>
    </xdr:from>
    <xdr:to>
      <xdr:col>1</xdr:col>
      <xdr:colOff>371475</xdr:colOff>
      <xdr:row>266</xdr:row>
      <xdr:rowOff>161925</xdr:rowOff>
    </xdr:to>
    <xdr:sp macro="" textlink="">
      <xdr:nvSpPr>
        <xdr:cNvPr id="227" name="Secteurs 226"/>
        <xdr:cNvSpPr/>
      </xdr:nvSpPr>
      <xdr:spPr>
        <a:xfrm>
          <a:off x="600075" y="443198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274</xdr:row>
      <xdr:rowOff>28575</xdr:rowOff>
    </xdr:from>
    <xdr:to>
      <xdr:col>4</xdr:col>
      <xdr:colOff>1514475</xdr:colOff>
      <xdr:row>274</xdr:row>
      <xdr:rowOff>171449</xdr:rowOff>
    </xdr:to>
    <xdr:sp macro="" textlink="">
      <xdr:nvSpPr>
        <xdr:cNvPr id="228" name="Secteurs 227"/>
        <xdr:cNvSpPr/>
      </xdr:nvSpPr>
      <xdr:spPr>
        <a:xfrm>
          <a:off x="3952875" y="459295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275</xdr:row>
      <xdr:rowOff>28575</xdr:rowOff>
    </xdr:from>
    <xdr:to>
      <xdr:col>4</xdr:col>
      <xdr:colOff>1504950</xdr:colOff>
      <xdr:row>275</xdr:row>
      <xdr:rowOff>171449</xdr:rowOff>
    </xdr:to>
    <xdr:sp macro="" textlink="">
      <xdr:nvSpPr>
        <xdr:cNvPr id="229" name="Étoile à 7 branches 228"/>
        <xdr:cNvSpPr/>
      </xdr:nvSpPr>
      <xdr:spPr>
        <a:xfrm>
          <a:off x="3933825" y="461295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274</xdr:row>
      <xdr:rowOff>19051</xdr:rowOff>
    </xdr:from>
    <xdr:to>
      <xdr:col>2</xdr:col>
      <xdr:colOff>381000</xdr:colOff>
      <xdr:row>274</xdr:row>
      <xdr:rowOff>161925</xdr:rowOff>
    </xdr:to>
    <xdr:sp macro="" textlink="">
      <xdr:nvSpPr>
        <xdr:cNvPr id="230" name="Étoile à 7 branches 229"/>
        <xdr:cNvSpPr/>
      </xdr:nvSpPr>
      <xdr:spPr>
        <a:xfrm>
          <a:off x="1514475" y="459200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274</xdr:row>
      <xdr:rowOff>19051</xdr:rowOff>
    </xdr:from>
    <xdr:to>
      <xdr:col>1</xdr:col>
      <xdr:colOff>371475</xdr:colOff>
      <xdr:row>274</xdr:row>
      <xdr:rowOff>161925</xdr:rowOff>
    </xdr:to>
    <xdr:sp macro="" textlink="">
      <xdr:nvSpPr>
        <xdr:cNvPr id="231" name="Secteurs 230"/>
        <xdr:cNvSpPr/>
      </xdr:nvSpPr>
      <xdr:spPr>
        <a:xfrm>
          <a:off x="600075" y="459200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282</xdr:row>
      <xdr:rowOff>28575</xdr:rowOff>
    </xdr:from>
    <xdr:to>
      <xdr:col>4</xdr:col>
      <xdr:colOff>1514475</xdr:colOff>
      <xdr:row>282</xdr:row>
      <xdr:rowOff>171449</xdr:rowOff>
    </xdr:to>
    <xdr:sp macro="" textlink="">
      <xdr:nvSpPr>
        <xdr:cNvPr id="232" name="Secteurs 231"/>
        <xdr:cNvSpPr/>
      </xdr:nvSpPr>
      <xdr:spPr>
        <a:xfrm>
          <a:off x="3952875" y="475297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283</xdr:row>
      <xdr:rowOff>28575</xdr:rowOff>
    </xdr:from>
    <xdr:to>
      <xdr:col>4</xdr:col>
      <xdr:colOff>1504950</xdr:colOff>
      <xdr:row>283</xdr:row>
      <xdr:rowOff>171449</xdr:rowOff>
    </xdr:to>
    <xdr:sp macro="" textlink="">
      <xdr:nvSpPr>
        <xdr:cNvPr id="233" name="Étoile à 7 branches 232"/>
        <xdr:cNvSpPr/>
      </xdr:nvSpPr>
      <xdr:spPr>
        <a:xfrm>
          <a:off x="3933825" y="477297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282</xdr:row>
      <xdr:rowOff>19051</xdr:rowOff>
    </xdr:from>
    <xdr:to>
      <xdr:col>2</xdr:col>
      <xdr:colOff>381000</xdr:colOff>
      <xdr:row>282</xdr:row>
      <xdr:rowOff>161925</xdr:rowOff>
    </xdr:to>
    <xdr:sp macro="" textlink="">
      <xdr:nvSpPr>
        <xdr:cNvPr id="234" name="Étoile à 7 branches 233"/>
        <xdr:cNvSpPr/>
      </xdr:nvSpPr>
      <xdr:spPr>
        <a:xfrm>
          <a:off x="1514475" y="475202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282</xdr:row>
      <xdr:rowOff>19051</xdr:rowOff>
    </xdr:from>
    <xdr:to>
      <xdr:col>1</xdr:col>
      <xdr:colOff>371475</xdr:colOff>
      <xdr:row>282</xdr:row>
      <xdr:rowOff>161925</xdr:rowOff>
    </xdr:to>
    <xdr:sp macro="" textlink="">
      <xdr:nvSpPr>
        <xdr:cNvPr id="235" name="Secteurs 234"/>
        <xdr:cNvSpPr/>
      </xdr:nvSpPr>
      <xdr:spPr>
        <a:xfrm>
          <a:off x="600075" y="475202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290</xdr:row>
      <xdr:rowOff>28575</xdr:rowOff>
    </xdr:from>
    <xdr:to>
      <xdr:col>4</xdr:col>
      <xdr:colOff>1514475</xdr:colOff>
      <xdr:row>290</xdr:row>
      <xdr:rowOff>171449</xdr:rowOff>
    </xdr:to>
    <xdr:sp macro="" textlink="">
      <xdr:nvSpPr>
        <xdr:cNvPr id="236" name="Secteurs 235"/>
        <xdr:cNvSpPr/>
      </xdr:nvSpPr>
      <xdr:spPr>
        <a:xfrm>
          <a:off x="3952875" y="491299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291</xdr:row>
      <xdr:rowOff>28575</xdr:rowOff>
    </xdr:from>
    <xdr:to>
      <xdr:col>4</xdr:col>
      <xdr:colOff>1504950</xdr:colOff>
      <xdr:row>291</xdr:row>
      <xdr:rowOff>171449</xdr:rowOff>
    </xdr:to>
    <xdr:sp macro="" textlink="">
      <xdr:nvSpPr>
        <xdr:cNvPr id="237" name="Étoile à 7 branches 236"/>
        <xdr:cNvSpPr/>
      </xdr:nvSpPr>
      <xdr:spPr>
        <a:xfrm>
          <a:off x="3933825" y="493299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290</xdr:row>
      <xdr:rowOff>19051</xdr:rowOff>
    </xdr:from>
    <xdr:to>
      <xdr:col>2</xdr:col>
      <xdr:colOff>381000</xdr:colOff>
      <xdr:row>290</xdr:row>
      <xdr:rowOff>161925</xdr:rowOff>
    </xdr:to>
    <xdr:sp macro="" textlink="">
      <xdr:nvSpPr>
        <xdr:cNvPr id="238" name="Étoile à 7 branches 237"/>
        <xdr:cNvSpPr/>
      </xdr:nvSpPr>
      <xdr:spPr>
        <a:xfrm>
          <a:off x="1514475" y="491204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290</xdr:row>
      <xdr:rowOff>19051</xdr:rowOff>
    </xdr:from>
    <xdr:to>
      <xdr:col>1</xdr:col>
      <xdr:colOff>371475</xdr:colOff>
      <xdr:row>290</xdr:row>
      <xdr:rowOff>161925</xdr:rowOff>
    </xdr:to>
    <xdr:sp macro="" textlink="">
      <xdr:nvSpPr>
        <xdr:cNvPr id="239" name="Secteurs 238"/>
        <xdr:cNvSpPr/>
      </xdr:nvSpPr>
      <xdr:spPr>
        <a:xfrm>
          <a:off x="600075" y="491204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300</xdr:row>
      <xdr:rowOff>28575</xdr:rowOff>
    </xdr:from>
    <xdr:to>
      <xdr:col>4</xdr:col>
      <xdr:colOff>1514475</xdr:colOff>
      <xdr:row>300</xdr:row>
      <xdr:rowOff>171449</xdr:rowOff>
    </xdr:to>
    <xdr:sp macro="" textlink="">
      <xdr:nvSpPr>
        <xdr:cNvPr id="240" name="Secteurs 239"/>
        <xdr:cNvSpPr/>
      </xdr:nvSpPr>
      <xdr:spPr>
        <a:xfrm>
          <a:off x="3952875" y="443293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301</xdr:row>
      <xdr:rowOff>28575</xdr:rowOff>
    </xdr:from>
    <xdr:to>
      <xdr:col>4</xdr:col>
      <xdr:colOff>1504950</xdr:colOff>
      <xdr:row>301</xdr:row>
      <xdr:rowOff>171449</xdr:rowOff>
    </xdr:to>
    <xdr:sp macro="" textlink="">
      <xdr:nvSpPr>
        <xdr:cNvPr id="241" name="Étoile à 7 branches 240"/>
        <xdr:cNvSpPr/>
      </xdr:nvSpPr>
      <xdr:spPr>
        <a:xfrm>
          <a:off x="3933825" y="445293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300</xdr:row>
      <xdr:rowOff>19051</xdr:rowOff>
    </xdr:from>
    <xdr:to>
      <xdr:col>2</xdr:col>
      <xdr:colOff>381000</xdr:colOff>
      <xdr:row>300</xdr:row>
      <xdr:rowOff>161925</xdr:rowOff>
    </xdr:to>
    <xdr:sp macro="" textlink="">
      <xdr:nvSpPr>
        <xdr:cNvPr id="242" name="Étoile à 7 branches 241"/>
        <xdr:cNvSpPr/>
      </xdr:nvSpPr>
      <xdr:spPr>
        <a:xfrm>
          <a:off x="1514475" y="443198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300</xdr:row>
      <xdr:rowOff>19051</xdr:rowOff>
    </xdr:from>
    <xdr:to>
      <xdr:col>1</xdr:col>
      <xdr:colOff>371475</xdr:colOff>
      <xdr:row>300</xdr:row>
      <xdr:rowOff>161925</xdr:rowOff>
    </xdr:to>
    <xdr:sp macro="" textlink="">
      <xdr:nvSpPr>
        <xdr:cNvPr id="243" name="Secteurs 242"/>
        <xdr:cNvSpPr/>
      </xdr:nvSpPr>
      <xdr:spPr>
        <a:xfrm>
          <a:off x="600075" y="443198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308</xdr:row>
      <xdr:rowOff>28575</xdr:rowOff>
    </xdr:from>
    <xdr:to>
      <xdr:col>4</xdr:col>
      <xdr:colOff>1514475</xdr:colOff>
      <xdr:row>308</xdr:row>
      <xdr:rowOff>171449</xdr:rowOff>
    </xdr:to>
    <xdr:sp macro="" textlink="">
      <xdr:nvSpPr>
        <xdr:cNvPr id="244" name="Secteurs 243"/>
        <xdr:cNvSpPr/>
      </xdr:nvSpPr>
      <xdr:spPr>
        <a:xfrm>
          <a:off x="3952875" y="459295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309</xdr:row>
      <xdr:rowOff>28575</xdr:rowOff>
    </xdr:from>
    <xdr:to>
      <xdr:col>4</xdr:col>
      <xdr:colOff>1504950</xdr:colOff>
      <xdr:row>309</xdr:row>
      <xdr:rowOff>171449</xdr:rowOff>
    </xdr:to>
    <xdr:sp macro="" textlink="">
      <xdr:nvSpPr>
        <xdr:cNvPr id="245" name="Étoile à 7 branches 244"/>
        <xdr:cNvSpPr/>
      </xdr:nvSpPr>
      <xdr:spPr>
        <a:xfrm>
          <a:off x="3933825" y="461295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308</xdr:row>
      <xdr:rowOff>19051</xdr:rowOff>
    </xdr:from>
    <xdr:to>
      <xdr:col>2</xdr:col>
      <xdr:colOff>381000</xdr:colOff>
      <xdr:row>308</xdr:row>
      <xdr:rowOff>161925</xdr:rowOff>
    </xdr:to>
    <xdr:sp macro="" textlink="">
      <xdr:nvSpPr>
        <xdr:cNvPr id="246" name="Étoile à 7 branches 245"/>
        <xdr:cNvSpPr/>
      </xdr:nvSpPr>
      <xdr:spPr>
        <a:xfrm>
          <a:off x="1514475" y="459200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308</xdr:row>
      <xdr:rowOff>19051</xdr:rowOff>
    </xdr:from>
    <xdr:to>
      <xdr:col>1</xdr:col>
      <xdr:colOff>371475</xdr:colOff>
      <xdr:row>308</xdr:row>
      <xdr:rowOff>161925</xdr:rowOff>
    </xdr:to>
    <xdr:sp macro="" textlink="">
      <xdr:nvSpPr>
        <xdr:cNvPr id="247" name="Secteurs 246"/>
        <xdr:cNvSpPr/>
      </xdr:nvSpPr>
      <xdr:spPr>
        <a:xfrm>
          <a:off x="600075" y="459200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1362075</xdr:colOff>
      <xdr:row>316</xdr:row>
      <xdr:rowOff>28575</xdr:rowOff>
    </xdr:from>
    <xdr:to>
      <xdr:col>4</xdr:col>
      <xdr:colOff>1514475</xdr:colOff>
      <xdr:row>316</xdr:row>
      <xdr:rowOff>171449</xdr:rowOff>
    </xdr:to>
    <xdr:sp macro="" textlink="">
      <xdr:nvSpPr>
        <xdr:cNvPr id="252" name="Secteurs 251"/>
        <xdr:cNvSpPr/>
      </xdr:nvSpPr>
      <xdr:spPr>
        <a:xfrm>
          <a:off x="3952875" y="49129950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1343025</xdr:colOff>
      <xdr:row>317</xdr:row>
      <xdr:rowOff>28575</xdr:rowOff>
    </xdr:from>
    <xdr:to>
      <xdr:col>4</xdr:col>
      <xdr:colOff>1504950</xdr:colOff>
      <xdr:row>317</xdr:row>
      <xdr:rowOff>171449</xdr:rowOff>
    </xdr:to>
    <xdr:sp macro="" textlink="">
      <xdr:nvSpPr>
        <xdr:cNvPr id="253" name="Étoile à 7 branches 252"/>
        <xdr:cNvSpPr/>
      </xdr:nvSpPr>
      <xdr:spPr>
        <a:xfrm>
          <a:off x="3933825" y="49329975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219075</xdr:colOff>
      <xdr:row>316</xdr:row>
      <xdr:rowOff>19051</xdr:rowOff>
    </xdr:from>
    <xdr:to>
      <xdr:col>2</xdr:col>
      <xdr:colOff>381000</xdr:colOff>
      <xdr:row>316</xdr:row>
      <xdr:rowOff>161925</xdr:rowOff>
    </xdr:to>
    <xdr:sp macro="" textlink="">
      <xdr:nvSpPr>
        <xdr:cNvPr id="254" name="Étoile à 7 branches 253"/>
        <xdr:cNvSpPr/>
      </xdr:nvSpPr>
      <xdr:spPr>
        <a:xfrm>
          <a:off x="1514475" y="49120426"/>
          <a:ext cx="161925" cy="142874"/>
        </a:xfrm>
        <a:prstGeom prst="star7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1</xdr:col>
      <xdr:colOff>219075</xdr:colOff>
      <xdr:row>316</xdr:row>
      <xdr:rowOff>19051</xdr:rowOff>
    </xdr:from>
    <xdr:to>
      <xdr:col>1</xdr:col>
      <xdr:colOff>371475</xdr:colOff>
      <xdr:row>316</xdr:row>
      <xdr:rowOff>161925</xdr:rowOff>
    </xdr:to>
    <xdr:sp macro="" textlink="">
      <xdr:nvSpPr>
        <xdr:cNvPr id="255" name="Secteurs 254"/>
        <xdr:cNvSpPr/>
      </xdr:nvSpPr>
      <xdr:spPr>
        <a:xfrm>
          <a:off x="600075" y="49120426"/>
          <a:ext cx="152400" cy="142874"/>
        </a:xfrm>
        <a:prstGeom prst="pi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6" name="Tableau16" displayName="Tableau16" ref="E6:F9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2" name="Tableau163" displayName="Tableau163" ref="E18:F21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3" name="Tableau164" displayName="Tableau164" ref="K18:L21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ableau165" displayName="Tableau165" ref="E26:F29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6" name="Tableau1657" displayName="Tableau1657" ref="E34:F37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7" name="Tableau16578" displayName="Tableau16578" ref="K34:L37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28" name="Tableau165729" displayName="Tableau165729" ref="E115:F118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31" name="Tableau16572932" displayName="Tableau16572932" ref="E123:F126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34" name="Tableau1657293235" displayName="Tableau1657293235" ref="E131:F134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37" name="Tableau16572938" displayName="Tableau16572938" ref="E233:F236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40" name="Tableau1657293241" displayName="Tableau1657293241" ref="E241:F244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43" name="Tableau165729323544" displayName="Tableau165729323544" ref="E249:F252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4" name="Tableau16515" displayName="Tableau16515" ref="E42:F45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9" name="Tableau1610" displayName="Tableau1610" ref="Q18:R21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5" name="Tableau16516" displayName="Tableau16516" ref="K26:L29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7" name="Tableau165729323518" displayName="Tableau165729323518" ref="E139:F142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8" name="Tableau16572919" displayName="Tableau16572919" ref="K115:L118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8.xml><?xml version="1.0" encoding="utf-8"?>
<table xmlns="http://schemas.openxmlformats.org/spreadsheetml/2006/main" id="19" name="Tableau165729323520" displayName="Tableau165729323520" ref="K131:L134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19.xml><?xml version="1.0" encoding="utf-8"?>
<table xmlns="http://schemas.openxmlformats.org/spreadsheetml/2006/main" id="20" name="Tableau16572932351821" displayName="Tableau16572932351821" ref="K139:L142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0.xml><?xml version="1.0" encoding="utf-8"?>
<table xmlns="http://schemas.openxmlformats.org/spreadsheetml/2006/main" id="22" name="Tableau1657293235182123" displayName="Tableau1657293235182123" ref="Q139:R142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1.xml><?xml version="1.0" encoding="utf-8"?>
<table xmlns="http://schemas.openxmlformats.org/spreadsheetml/2006/main" id="23" name="Tableau16572932354424" displayName="Tableau16572932354424" ref="E257:F260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2.xml><?xml version="1.0" encoding="utf-8"?>
<table xmlns="http://schemas.openxmlformats.org/spreadsheetml/2006/main" id="5" name="Tableau165729386" displayName="Tableau165729386" ref="K233:L236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3.xml><?xml version="1.0" encoding="utf-8"?>
<table xmlns="http://schemas.openxmlformats.org/spreadsheetml/2006/main" id="8" name="Tableau1657293235449" displayName="Tableau1657293235449" ref="K249:L252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4.xml><?xml version="1.0" encoding="utf-8"?>
<table xmlns="http://schemas.openxmlformats.org/spreadsheetml/2006/main" id="21" name="Tableau165729323544922" displayName="Tableau165729323544922" ref="Q249:R252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5.xml><?xml version="1.0" encoding="utf-8"?>
<table xmlns="http://schemas.openxmlformats.org/spreadsheetml/2006/main" id="24" name="Tableau1657293235442425" displayName="Tableau1657293235442425" ref="K257:L260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6.xml><?xml version="1.0" encoding="utf-8"?>
<table xmlns="http://schemas.openxmlformats.org/spreadsheetml/2006/main" id="25" name="Tableau1651526" displayName="Tableau1651526" ref="E52:F55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7.xml><?xml version="1.0" encoding="utf-8"?>
<table xmlns="http://schemas.openxmlformats.org/spreadsheetml/2006/main" id="26" name="Tableau165152627" displayName="Tableau165152627" ref="E60:F63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8.xml><?xml version="1.0" encoding="utf-8"?>
<table xmlns="http://schemas.openxmlformats.org/spreadsheetml/2006/main" id="27" name="Tableau165152628" displayName="Tableau165152628" ref="E68:F71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29.xml><?xml version="1.0" encoding="utf-8"?>
<table xmlns="http://schemas.openxmlformats.org/spreadsheetml/2006/main" id="29" name="Tableau165152630" displayName="Tableau165152630" ref="E76:F79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0.xml><?xml version="1.0" encoding="utf-8"?>
<table xmlns="http://schemas.openxmlformats.org/spreadsheetml/2006/main" id="30" name="Tableau165152631" displayName="Tableau165152631" ref="E86:F89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1.xml><?xml version="1.0" encoding="utf-8"?>
<table xmlns="http://schemas.openxmlformats.org/spreadsheetml/2006/main" id="32" name="Tableau16515262733" displayName="Tableau16515262733" ref="E94:F97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2.xml><?xml version="1.0" encoding="utf-8"?>
<table xmlns="http://schemas.openxmlformats.org/spreadsheetml/2006/main" id="33" name="Tableau16515262834" displayName="Tableau16515262834" ref="E102:F105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3.xml><?xml version="1.0" encoding="utf-8"?>
<table xmlns="http://schemas.openxmlformats.org/spreadsheetml/2006/main" id="36" name="Tableau16572937" displayName="Tableau16572937" ref="E149:F152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4.xml><?xml version="1.0" encoding="utf-8"?>
<table xmlns="http://schemas.openxmlformats.org/spreadsheetml/2006/main" id="38" name="Tableau1657293239" displayName="Tableau1657293239" ref="E157:F160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5.xml><?xml version="1.0" encoding="utf-8"?>
<table xmlns="http://schemas.openxmlformats.org/spreadsheetml/2006/main" id="39" name="Tableau165729323540" displayName="Tableau165729323540" ref="E165:F168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6.xml><?xml version="1.0" encoding="utf-8"?>
<table xmlns="http://schemas.openxmlformats.org/spreadsheetml/2006/main" id="41" name="Tableau16572932351842" displayName="Tableau16572932351842" ref="E173:F176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7.xml><?xml version="1.0" encoding="utf-8"?>
<table xmlns="http://schemas.openxmlformats.org/spreadsheetml/2006/main" id="42" name="Tableau1657293743" displayName="Tableau1657293743" ref="E183:F186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8.xml><?xml version="1.0" encoding="utf-8"?>
<table xmlns="http://schemas.openxmlformats.org/spreadsheetml/2006/main" id="44" name="Tableau165729323945" displayName="Tableau165729323945" ref="E191:F194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39.xml><?xml version="1.0" encoding="utf-8"?>
<table xmlns="http://schemas.openxmlformats.org/spreadsheetml/2006/main" id="45" name="Tableau16572932354046" displayName="Tableau16572932354046" ref="E199:F202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40.xml><?xml version="1.0" encoding="utf-8"?>
<table xmlns="http://schemas.openxmlformats.org/spreadsheetml/2006/main" id="47" name="Tableau1657293848" displayName="Tableau1657293848" ref="E267:F270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41.xml><?xml version="1.0" encoding="utf-8"?>
<table xmlns="http://schemas.openxmlformats.org/spreadsheetml/2006/main" id="48" name="Tableau165729324149" displayName="Tableau165729324149" ref="E275:F278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42.xml><?xml version="1.0" encoding="utf-8"?>
<table xmlns="http://schemas.openxmlformats.org/spreadsheetml/2006/main" id="49" name="Tableau16572932354450" displayName="Tableau16572932354450" ref="E283:F286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43.xml><?xml version="1.0" encoding="utf-8"?>
<table xmlns="http://schemas.openxmlformats.org/spreadsheetml/2006/main" id="50" name="Tableau1657293235442451" displayName="Tableau1657293235442451" ref="E291:F294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44.xml><?xml version="1.0" encoding="utf-8"?>
<table xmlns="http://schemas.openxmlformats.org/spreadsheetml/2006/main" id="51" name="Tableau1657293852" displayName="Tableau1657293852" ref="E301:F304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45.xml><?xml version="1.0" encoding="utf-8"?>
<table xmlns="http://schemas.openxmlformats.org/spreadsheetml/2006/main" id="52" name="Tableau165729324153" displayName="Tableau165729324153" ref="E309:F312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46.xml><?xml version="1.0" encoding="utf-8"?>
<table xmlns="http://schemas.openxmlformats.org/spreadsheetml/2006/main" id="54" name="Tableau1657293235442455" displayName="Tableau1657293235442455" ref="E317:F320" headerRowCount="0" totalsRowShown="0">
  <tableColumns count="2">
    <tableColumn id="1" name="Colonne1"/>
    <tableColumn id="2" name="Colonne2"/>
  </tableColumns>
  <tableStyleInfo name="TableStyleLight18" showFirstColumn="0" showLastColumn="0" showRowStripes="1" showColumnStripes="0"/>
</table>
</file>

<file path=xl/tables/table47.xml><?xml version="1.0" encoding="utf-8"?>
<table xmlns="http://schemas.openxmlformats.org/spreadsheetml/2006/main" id="1" name="Tableau1" displayName="Tableau1" ref="B4:G20" totalsRowShown="0" headerRowDxfId="9">
  <autoFilter ref="B4:G20"/>
  <tableColumns count="6">
    <tableColumn id="1" name="Terme de jeu" dataDxfId="8"/>
    <tableColumn id="2" name="Description" dataDxfId="7"/>
    <tableColumn id="3" name="Utilité"/>
    <tableColumn id="4" name="Commentaire"/>
    <tableColumn id="5" name="Type privilégié"/>
    <tableColumn id="6" name="Sphère privilégiée"/>
  </tableColumns>
  <tableStyleInfo name="TableStyleMedium26" showFirstColumn="0" showLastColumn="0" showRowStripes="1" showColumnStripes="0"/>
</table>
</file>

<file path=xl/tables/table48.xml><?xml version="1.0" encoding="utf-8"?>
<table xmlns="http://schemas.openxmlformats.org/spreadsheetml/2006/main" id="13" name="Tableau13" displayName="Tableau13" ref="B4:E24" totalsRowShown="0">
  <autoFilter ref="B4:E24"/>
  <tableColumns count="4">
    <tableColumn id="1" name="Catégories" dataDxfId="6"/>
    <tableColumn id="2" name="Standard"/>
    <tableColumn id="4" name="Epique"/>
    <tableColumn id="5" name="Divin"/>
  </tableColumns>
  <tableStyleInfo name="TableStyleMedium26" showFirstColumn="0" showLastColumn="0" showRowStripes="1" showColumnStripes="0"/>
</table>
</file>

<file path=xl/tables/table49.xml><?xml version="1.0" encoding="utf-8"?>
<table xmlns="http://schemas.openxmlformats.org/spreadsheetml/2006/main" id="10" name="Tableau10" displayName="Tableau10" ref="B4:C9" totalsRowShown="0">
  <autoFilter ref="B4:C9"/>
  <tableColumns count="2">
    <tableColumn id="1" name="Catégories" dataDxfId="5"/>
    <tableColumn id="2" name="Exemples" dataDxfId="4"/>
  </tableColumns>
  <tableStyleInfo name="TableStyleMedium26" showFirstColumn="0" showLastColumn="0" showRowStripes="1" showColumnStripes="0"/>
</table>
</file>

<file path=xl/tables/table50.xml><?xml version="1.0" encoding="utf-8"?>
<table xmlns="http://schemas.openxmlformats.org/spreadsheetml/2006/main" id="11" name="Tableau11" displayName="Tableau11" ref="B13:F21" totalsRowShown="0">
  <autoFilter ref="B13:F21"/>
  <tableColumns count="5">
    <tableColumn id="1" name="Terme de jeu" dataDxfId="3"/>
    <tableColumn id="2" name="Description" dataDxfId="2"/>
    <tableColumn id="3" name="Utilité"/>
    <tableColumn id="4" name="Commentaire"/>
    <tableColumn id="5" name="Equipement privilégié"/>
  </tableColumns>
  <tableStyleInfo name="TableStyleMedium26" showFirstColumn="0" showLastColumn="0" showRowStripes="1" showColumnStripes="0"/>
</table>
</file>

<file path=xl/tables/table51.xml><?xml version="1.0" encoding="utf-8"?>
<table xmlns="http://schemas.openxmlformats.org/spreadsheetml/2006/main" id="12" name="Tableau12" displayName="Tableau12" ref="B25:E28" totalsRowShown="0">
  <autoFilter ref="B25:E28"/>
  <tableColumns count="4">
    <tableColumn id="1" name="Terme de jeu" dataDxfId="1"/>
    <tableColumn id="2" name="Description" dataDxfId="0"/>
    <tableColumn id="3" name="Utilité"/>
    <tableColumn id="4" name="Commentaire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42" Type="http://schemas.openxmlformats.org/officeDocument/2006/relationships/table" Target="../tables/table39.xml"/><Relationship Id="rId47" Type="http://schemas.openxmlformats.org/officeDocument/2006/relationships/table" Target="../tables/table44.xml"/><Relationship Id="rId50" Type="http://schemas.openxmlformats.org/officeDocument/2006/relationships/comments" Target="../comments1.x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Relationship Id="rId46" Type="http://schemas.openxmlformats.org/officeDocument/2006/relationships/table" Target="../tables/table43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table" Target="../tables/table3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45" Type="http://schemas.openxmlformats.org/officeDocument/2006/relationships/table" Target="../tables/table42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49" Type="http://schemas.openxmlformats.org/officeDocument/2006/relationships/table" Target="../tables/table46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4" Type="http://schemas.openxmlformats.org/officeDocument/2006/relationships/table" Target="../tables/table41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43" Type="http://schemas.openxmlformats.org/officeDocument/2006/relationships/table" Target="../tables/table40.xml"/><Relationship Id="rId48" Type="http://schemas.openxmlformats.org/officeDocument/2006/relationships/table" Target="../tables/table45.xml"/><Relationship Id="rId8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R321"/>
  <sheetViews>
    <sheetView tabSelected="1" topLeftCell="A232" zoomScaleNormal="100" workbookViewId="0">
      <selection activeCell="B120" sqref="B120"/>
    </sheetView>
  </sheetViews>
  <sheetFormatPr baseColWidth="10" defaultRowHeight="15" outlineLevelRow="1" outlineLevelCol="1" x14ac:dyDescent="0.25"/>
  <cols>
    <col min="1" max="1" width="5.7109375" customWidth="1"/>
    <col min="2" max="3" width="13.7109375" customWidth="1"/>
    <col min="4" max="4" width="5.7109375" customWidth="1" outlineLevel="1"/>
    <col min="5" max="5" width="23.28515625" customWidth="1" outlineLevel="1"/>
    <col min="6" max="6" width="4.85546875" customWidth="1" outlineLevel="1"/>
    <col min="7" max="7" width="5.7109375" customWidth="1" outlineLevel="1"/>
    <col min="8" max="9" width="13.7109375" customWidth="1"/>
    <col min="10" max="10" width="5.7109375" customWidth="1" outlineLevel="1"/>
    <col min="11" max="11" width="23.28515625" customWidth="1" outlineLevel="1"/>
    <col min="12" max="12" width="4.85546875" customWidth="1" outlineLevel="1"/>
    <col min="13" max="13" width="5.7109375" customWidth="1" outlineLevel="1"/>
    <col min="14" max="15" width="13.7109375" customWidth="1"/>
    <col min="16" max="16" width="5.7109375" customWidth="1" outlineLevel="1"/>
    <col min="17" max="17" width="21.28515625" customWidth="1" outlineLevel="1"/>
    <col min="18" max="18" width="4.85546875" customWidth="1" outlineLevel="1"/>
  </cols>
  <sheetData>
    <row r="1" spans="2:15" outlineLevel="1" x14ac:dyDescent="0.25"/>
    <row r="2" spans="2:15" ht="20.25" outlineLevel="1" thickBot="1" x14ac:dyDescent="0.35">
      <c r="B2" s="29" t="s">
        <v>47</v>
      </c>
      <c r="C2" s="29"/>
    </row>
    <row r="3" spans="2:15" ht="16.5" outlineLevel="1" thickTop="1" thickBot="1" x14ac:dyDescent="0.3">
      <c r="C3" s="1"/>
      <c r="E3" s="1"/>
      <c r="H3" s="30" t="s">
        <v>73</v>
      </c>
      <c r="I3" s="31"/>
      <c r="J3" s="31"/>
      <c r="K3" s="31"/>
      <c r="L3" s="32"/>
    </row>
    <row r="4" spans="2:15" ht="18.75" customHeight="1" outlineLevel="1" x14ac:dyDescent="0.25">
      <c r="B4" s="19" t="s">
        <v>45</v>
      </c>
      <c r="C4" s="20"/>
      <c r="H4" s="45" t="s">
        <v>64</v>
      </c>
      <c r="I4" s="46"/>
      <c r="J4" s="46"/>
      <c r="K4" s="46"/>
      <c r="L4" s="47"/>
    </row>
    <row r="5" spans="2:15" ht="14.25" customHeight="1" outlineLevel="1" x14ac:dyDescent="0.25">
      <c r="B5" s="9" t="s">
        <v>48</v>
      </c>
      <c r="C5" s="10" t="s">
        <v>46</v>
      </c>
      <c r="E5" s="21" t="s">
        <v>54</v>
      </c>
      <c r="F5" s="22"/>
      <c r="H5" s="33" t="s">
        <v>65</v>
      </c>
      <c r="I5" s="34"/>
      <c r="J5" s="34"/>
      <c r="K5" s="34"/>
      <c r="L5" s="35"/>
    </row>
    <row r="6" spans="2:15" ht="15" customHeight="1" outlineLevel="1" thickBot="1" x14ac:dyDescent="0.3">
      <c r="B6" s="9">
        <v>1</v>
      </c>
      <c r="C6" s="14">
        <v>1</v>
      </c>
      <c r="E6" t="s">
        <v>37</v>
      </c>
      <c r="F6">
        <f>IF(B5='Equilibrage de base des sorts'!$B$5,'Equilibrage de base des sorts'!$C$7-B6,0)*'Equilibrage de base des sorts'!$C$8    +    IF(B5='Equilibrage de base des sorts'!$B$10,'Equilibrage de base des sorts'!$C$12-B6,0)*'Equilibrage de base des sorts'!$C$13    +    IF(B5='Equilibrage de base des sorts'!$B$15,'Equilibrage de base des sorts'!$C$17-B6,0)*'Equilibrage de base des sorts'!$C$18    +    IF(B5='Equilibrage de base des sorts'!$B$20,'Equilibrage de base des sorts'!$C$22-B6,0)*'Equilibrage de base des sorts'!$C$23</f>
        <v>12</v>
      </c>
      <c r="H6" s="36"/>
      <c r="I6" s="37"/>
      <c r="J6" s="37"/>
      <c r="K6" s="37"/>
      <c r="L6" s="38"/>
    </row>
    <row r="7" spans="2:15" ht="15" customHeight="1" outlineLevel="1" x14ac:dyDescent="0.25">
      <c r="B7" s="23" t="s">
        <v>72</v>
      </c>
      <c r="C7" s="24"/>
      <c r="E7" t="s">
        <v>51</v>
      </c>
      <c r="F7">
        <f>-C6*5</f>
        <v>-5</v>
      </c>
      <c r="H7" s="39" t="s">
        <v>66</v>
      </c>
      <c r="I7" s="40"/>
      <c r="J7" s="40"/>
      <c r="K7" s="40"/>
      <c r="L7" s="41"/>
    </row>
    <row r="8" spans="2:15" outlineLevel="1" x14ac:dyDescent="0.25">
      <c r="B8" s="25"/>
      <c r="C8" s="26"/>
      <c r="E8" s="15" t="s">
        <v>52</v>
      </c>
      <c r="F8" s="15">
        <f>IFERROR('Liste des effets'!$D$5*VALUE(MID(B7,SEARCH('Liste des effets'!$B$5,B7)+LEN('Liste des effets'!$B$5)+1,SEARCH(",",B7,SEARCH('Liste des effets'!$B$5,B7))-(SEARCH('Liste des effets'!$B$5,B7)+LEN('Liste des effets'!$B$5)+1))),0)     +     IFERROR('Liste des effets'!$D$6*VALUE(MID(B7,SEARCH('Liste des effets'!$B$6,B7)+LEN('Liste des effets'!$B$6)+1,SEARCH(",",B7,SEARCH('Liste des effets'!$B$6,B7))-(SEARCH('Liste des effets'!$B$6,B7)+LEN('Liste des effets'!$B$6)+1))),0)     +     IFERROR('Liste des effets'!$D$7*VALUE(MID(B7,SEARCH('Liste des effets'!$B$7,B7)+LEN('Liste des effets'!$B$7)+1,SEARCH(",",B7,SEARCH('Liste des effets'!$B$7,B7))-(SEARCH('Liste des effets'!$B$7,B7)+LEN('Liste des effets'!$B$7)+1))),0)     +     IFERROR('Liste des effets'!$D$8*VALUE(MID(B7,SEARCH('Liste des effets'!$B$8,B7)+LEN('Liste des effets'!$B$8)+1,SEARCH(",",B7,SEARCH('Liste des effets'!$B$8,B7))-(SEARCH('Liste des effets'!$B$8,B7)+LEN('Liste des effets'!$B$8)+1))),0)     +     IFERROR('Liste des effets'!$D$9*VALUE(MID(B7,SEARCH('Liste des effets'!$B$9,B7)+LEN('Liste des effets'!$B$9)+1,SEARCH(",",B7,SEARCH('Liste des effets'!$B$9,B7))-(SEARCH('Liste des effets'!$B$9,B7)+LEN('Liste des effets'!$B$9)+1))),0)     +     IFERROR('Liste des effets'!$D$10*VALUE(MID(B7,SEARCH('Liste des effets'!$B$10,B7)+LEN('Liste des effets'!$B$10)+1,SEARCH(",",B7,SEARCH('Liste des effets'!$B$10,B7))-(SEARCH('Liste des effets'!$B$10,B7)+LEN('Liste des effets'!$B$10)+1))),0)     +     IFERROR('Liste des effets'!$D$11*VALUE(MID(B7,SEARCH('Liste des effets'!$B$11,B7)+LEN('Liste des effets'!$B$11)+1,SEARCH(",",B7,SEARCH('Liste des effets'!$B$11,B7))-(SEARCH('Liste des effets'!$B$11,B7)+LEN('Liste des effets'!$B$11)+1))),0)     +     IFERROR('Liste des effets'!$D$12*VALUE(MID(B7,SEARCH('Liste des effets'!$B$12,B7)+LEN('Liste des effets'!$B$12)+1,SEARCH(",",B7,SEARCH('Liste des effets'!$B$12,B7))-(SEARCH('Liste des effets'!$B$12,B7)+LEN('Liste des effets'!$B$12)+1))),0)     +     IFERROR('Liste des effets'!$D$13*VALUE(MID(B7,SEARCH('Liste des effets'!$B$13,B7)+LEN('Liste des effets'!$B$13)+1,SEARCH(",",B7,SEARCH('Liste des effets'!$B$13,B7))-(SEARCH('Liste des effets'!$B$13,B7)+LEN('Liste des effets'!$B$13)+1))),0)     +     IFERROR('Liste des effets'!$D$14*VALUE(MID(B7,SEARCH('Liste des effets'!$B$14,B7)+LEN('Liste des effets'!$B$14)+1,SEARCH(",",B7,SEARCH('Liste des effets'!$B$14,B7))-(SEARCH('Liste des effets'!$B$14,B7)+LEN('Liste des effets'!$B$14)+1))),0)     +     IFERROR('Liste des effets'!$D$15*VALUE(MID(B7,SEARCH('Liste des effets'!$B$15,B7)+LEN('Liste des effets'!$B$15)+1,SEARCH(",",B7,SEARCH('Liste des effets'!$B$15,B7))-(SEARCH('Liste des effets'!$B$15,B7)+LEN('Liste des effets'!$B$15)+1))),0)     +     'Liste des effets'!$D$16*IF(IFERROR(SEARCH('Liste des effets'!$B$16,B7),0)&gt;0,1,0)     +     'Liste des effets'!$D$17*IF(IFERROR(SEARCH('Liste des effets'!$B$17,B7),0)&gt;0,1,0)     +     'Liste des effets'!$D$18*IF(IFERROR(SEARCH('Liste des effets'!$B$18,B7),0)&gt;0,1,0)     +     'Liste des effets'!$D$19*IF(IFERROR(SEARCH('Liste des effets'!$B$19,B7),0)&gt;0,1,0)      +     IF(IFERROR(SEARCH('Liste des effets'!$B$20,B7),0)&gt;0,1,0)    *     IF(B5='Equilibrage de base des sorts'!$B$5,'Equilibrage de base des sorts'!$C$9,0)      +     IF(IFERROR(SEARCH('Liste des effets'!$B$20,B7),0)&gt;0,1,0)    *     IF(B5='Equilibrage de base des sorts'!$B$10,'Equilibrage de base des sorts'!$C$14,0)      +     IF(IFERROR(SEARCH('Liste des effets'!$B$20,B7),0)&gt;0,1,0)    *     IF(B5='Equilibrage de base des sorts'!$B$15,'Equilibrage de base des sorts'!$C$19,0)      +     IF(IFERROR(SEARCH('Liste des effets'!$B$20,B7),0)&gt;0,1,0)    *     IF(B5='Equilibrage de base des sorts'!$B$20,'Equilibrage de base des sorts'!$C$24,0)</f>
        <v>5</v>
      </c>
      <c r="H8" s="42"/>
      <c r="I8" s="43"/>
      <c r="J8" s="43"/>
      <c r="K8" s="43"/>
      <c r="L8" s="44"/>
    </row>
    <row r="9" spans="2:15" ht="15" customHeight="1" outlineLevel="1" x14ac:dyDescent="0.25">
      <c r="B9" s="25"/>
      <c r="C9" s="26"/>
      <c r="E9" s="2" t="s">
        <v>53</v>
      </c>
      <c r="F9" s="2">
        <f>F6+F7+F8</f>
        <v>12</v>
      </c>
      <c r="H9" s="33" t="s">
        <v>63</v>
      </c>
      <c r="I9" s="34"/>
      <c r="J9" s="34"/>
      <c r="K9" s="34"/>
      <c r="L9" s="35"/>
    </row>
    <row r="10" spans="2:15" ht="15.75" outlineLevel="1" thickBot="1" x14ac:dyDescent="0.3">
      <c r="B10" s="27"/>
      <c r="C10" s="28"/>
      <c r="H10" s="36"/>
      <c r="I10" s="37"/>
      <c r="J10" s="37"/>
      <c r="K10" s="37"/>
      <c r="L10" s="38"/>
    </row>
    <row r="11" spans="2:15" outlineLevel="1" x14ac:dyDescent="0.25">
      <c r="H11" s="16"/>
      <c r="I11" s="16"/>
      <c r="J11" s="16"/>
      <c r="K11" s="16"/>
      <c r="L11" s="16"/>
    </row>
    <row r="12" spans="2:15" ht="20.25" thickBot="1" x14ac:dyDescent="0.35">
      <c r="B12" s="29" t="s">
        <v>62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2:15" ht="15.75" thickTop="1" x14ac:dyDescent="0.25"/>
    <row r="14" spans="2:15" ht="18" thickBot="1" x14ac:dyDescent="0.35">
      <c r="B14" s="48" t="s">
        <v>174</v>
      </c>
      <c r="C14" s="48"/>
    </row>
    <row r="15" spans="2:15" ht="16.5" thickTop="1" thickBot="1" x14ac:dyDescent="0.3"/>
    <row r="16" spans="2:15" ht="18.75" x14ac:dyDescent="0.25">
      <c r="B16" s="19" t="s">
        <v>133</v>
      </c>
      <c r="C16" s="20"/>
      <c r="H16" s="19" t="s">
        <v>145</v>
      </c>
      <c r="I16" s="20"/>
      <c r="N16" s="19" t="s">
        <v>146</v>
      </c>
      <c r="O16" s="20"/>
    </row>
    <row r="17" spans="2:18" x14ac:dyDescent="0.25">
      <c r="B17" s="9" t="s">
        <v>44</v>
      </c>
      <c r="C17" s="10" t="s">
        <v>67</v>
      </c>
      <c r="E17" s="21" t="s">
        <v>54</v>
      </c>
      <c r="F17" s="22"/>
      <c r="H17" s="9" t="s">
        <v>44</v>
      </c>
      <c r="I17" s="10" t="s">
        <v>67</v>
      </c>
      <c r="K17" s="21" t="s">
        <v>54</v>
      </c>
      <c r="L17" s="22"/>
      <c r="N17" s="9" t="s">
        <v>44</v>
      </c>
      <c r="O17" s="10" t="s">
        <v>67</v>
      </c>
      <c r="Q17" s="21" t="s">
        <v>54</v>
      </c>
      <c r="R17" s="22"/>
    </row>
    <row r="18" spans="2:18" ht="15.75" thickBot="1" x14ac:dyDescent="0.3">
      <c r="B18" s="9">
        <v>2</v>
      </c>
      <c r="C18" s="14">
        <v>2</v>
      </c>
      <c r="E18" t="s">
        <v>37</v>
      </c>
      <c r="F18">
        <f>IF(B17='Equilibrage de base des sorts'!$B$5,'Equilibrage de base des sorts'!$C$7-B18,0)*'Equilibrage de base des sorts'!$C$8    +    IF(B17='Equilibrage de base des sorts'!$B$10,'Equilibrage de base des sorts'!$C$12-B18,0)*'Equilibrage de base des sorts'!$C$13    +    IF(B17='Equilibrage de base des sorts'!$B$15,'Equilibrage de base des sorts'!$C$17-B18,0)*'Equilibrage de base des sorts'!$C$18    +    IF(B17='Equilibrage de base des sorts'!$B$20,'Equilibrage de base des sorts'!$C$22-B18,0)*'Equilibrage de base des sorts'!$C$23</f>
        <v>8</v>
      </c>
      <c r="H18" s="9">
        <v>3</v>
      </c>
      <c r="I18" s="14">
        <v>5</v>
      </c>
      <c r="K18" t="s">
        <v>37</v>
      </c>
      <c r="L18">
        <f>IF(H17='Equilibrage de base des sorts'!$B$5,'Equilibrage de base des sorts'!$C$7-H18,0)*'Equilibrage de base des sorts'!$C$8    +    IF(H17='Equilibrage de base des sorts'!$B$10,'Equilibrage de base des sorts'!$C$12-H18,0)*'Equilibrage de base des sorts'!$C$13    +    IF(H17='Equilibrage de base des sorts'!$B$15,'Equilibrage de base des sorts'!$C$17-H18,0)*'Equilibrage de base des sorts'!$C$18    +    IF(H17='Equilibrage de base des sorts'!$B$20,'Equilibrage de base des sorts'!$C$22-H18,0)*'Equilibrage de base des sorts'!$C$23</f>
        <v>4</v>
      </c>
      <c r="N18" s="9">
        <v>3</v>
      </c>
      <c r="O18" s="14">
        <v>2</v>
      </c>
      <c r="Q18" t="s">
        <v>37</v>
      </c>
      <c r="R18">
        <f>IF(N17='Equilibrage de base des sorts'!$B$5,'Equilibrage de base des sorts'!$C$7-N18,0)*'Equilibrage de base des sorts'!$C$8    +    IF(N17='Equilibrage de base des sorts'!$B$10,'Equilibrage de base des sorts'!$C$12-N18,0)*'Equilibrage de base des sorts'!$C$13    +    IF(N17='Equilibrage de base des sorts'!$B$15,'Equilibrage de base des sorts'!$C$17-N18,0)*'Equilibrage de base des sorts'!$C$18    +    IF(N17='Equilibrage de base des sorts'!$B$20,'Equilibrage de base des sorts'!$C$22-N18,0)*'Equilibrage de base des sorts'!$C$23</f>
        <v>4</v>
      </c>
    </row>
    <row r="19" spans="2:18" ht="15" customHeight="1" x14ac:dyDescent="0.25">
      <c r="B19" s="23" t="s">
        <v>163</v>
      </c>
      <c r="C19" s="24"/>
      <c r="E19" t="s">
        <v>51</v>
      </c>
      <c r="F19">
        <f>-C18*5</f>
        <v>-10</v>
      </c>
      <c r="H19" s="23" t="s">
        <v>158</v>
      </c>
      <c r="I19" s="24"/>
      <c r="K19" t="s">
        <v>51</v>
      </c>
      <c r="L19">
        <f>-I18*5</f>
        <v>-25</v>
      </c>
      <c r="N19" s="23" t="s">
        <v>130</v>
      </c>
      <c r="O19" s="24"/>
      <c r="Q19" t="s">
        <v>51</v>
      </c>
      <c r="R19">
        <f>-O18*5</f>
        <v>-10</v>
      </c>
    </row>
    <row r="20" spans="2:18" x14ac:dyDescent="0.25">
      <c r="B20" s="25"/>
      <c r="C20" s="26"/>
      <c r="E20" s="15" t="s">
        <v>52</v>
      </c>
      <c r="F20" s="15">
        <f>IFERROR('Liste des effets'!$D$5*VALUE(MID(B19,SEARCH('Liste des effets'!$B$5,B19)+LEN('Liste des effets'!$B$5)+1,SEARCH(",",B19,SEARCH('Liste des effets'!$B$5,B19))-(SEARCH('Liste des effets'!$B$5,B19)+LEN('Liste des effets'!$B$5)+1))),0)     +     IFERROR('Liste des effets'!$D$6*VALUE(MID(B19,SEARCH('Liste des effets'!$B$6,B19)+LEN('Liste des effets'!$B$6)+1,SEARCH(",",B19,SEARCH('Liste des effets'!$B$6,B19))-(SEARCH('Liste des effets'!$B$6,B19)+LEN('Liste des effets'!$B$6)+1))),0)     +     IFERROR('Liste des effets'!$D$7*VALUE(MID(B19,SEARCH('Liste des effets'!$B$7,B19)+LEN('Liste des effets'!$B$7)+1,SEARCH(",",B19,SEARCH('Liste des effets'!$B$7,B19))-(SEARCH('Liste des effets'!$B$7,B19)+LEN('Liste des effets'!$B$7)+1))),0)     +     IFERROR('Liste des effets'!$D$8*VALUE(MID(B19,SEARCH('Liste des effets'!$B$8,B19)+LEN('Liste des effets'!$B$8)+1,SEARCH(",",B19,SEARCH('Liste des effets'!$B$8,B19))-(SEARCH('Liste des effets'!$B$8,B19)+LEN('Liste des effets'!$B$8)+1))),0)     +     IFERROR('Liste des effets'!$D$9*VALUE(MID(B19,SEARCH('Liste des effets'!$B$9,B19)+LEN('Liste des effets'!$B$9)+1,SEARCH(",",B19,SEARCH('Liste des effets'!$B$9,B19))-(SEARCH('Liste des effets'!$B$9,B19)+LEN('Liste des effets'!$B$9)+1))),0)     +     IFERROR('Liste des effets'!$D$10*VALUE(MID(B19,SEARCH('Liste des effets'!$B$10,B19)+LEN('Liste des effets'!$B$10)+1,SEARCH(",",B19,SEARCH('Liste des effets'!$B$10,B19))-(SEARCH('Liste des effets'!$B$10,B19)+LEN('Liste des effets'!$B$10)+1))),0)     +     IFERROR('Liste des effets'!$D$11*VALUE(MID(B19,SEARCH('Liste des effets'!$B$11,B19)+LEN('Liste des effets'!$B$11)+1,SEARCH(",",B19,SEARCH('Liste des effets'!$B$11,B19))-(SEARCH('Liste des effets'!$B$11,B19)+LEN('Liste des effets'!$B$11)+1))),0)     +     IFERROR('Liste des effets'!$D$12*VALUE(MID(B19,SEARCH('Liste des effets'!$B$12,B19)+LEN('Liste des effets'!$B$12)+1,SEARCH(",",B19,SEARCH('Liste des effets'!$B$12,B19))-(SEARCH('Liste des effets'!$B$12,B19)+LEN('Liste des effets'!$B$12)+1))),0)     +     IFERROR('Liste des effets'!$D$13*VALUE(MID(B19,SEARCH('Liste des effets'!$B$13,B19)+LEN('Liste des effets'!$B$13)+1,SEARCH(",",B19,SEARCH('Liste des effets'!$B$13,B19))-(SEARCH('Liste des effets'!$B$13,B19)+LEN('Liste des effets'!$B$13)+1))),0)     +     IFERROR('Liste des effets'!$D$14*VALUE(MID(B19,SEARCH('Liste des effets'!$B$14,B19)+LEN('Liste des effets'!$B$14)+1,SEARCH(",",B19,SEARCH('Liste des effets'!$B$14,B19))-(SEARCH('Liste des effets'!$B$14,B19)+LEN('Liste des effets'!$B$14)+1))),0)     +     IFERROR('Liste des effets'!$D$15*VALUE(MID(B19,SEARCH('Liste des effets'!$B$15,B19)+LEN('Liste des effets'!$B$15)+1,SEARCH(",",B19,SEARCH('Liste des effets'!$B$15,B19))-(SEARCH('Liste des effets'!$B$15,B19)+LEN('Liste des effets'!$B$15)+1))),0)     +     'Liste des effets'!$D$16*IF(IFERROR(SEARCH('Liste des effets'!$B$16,B19),0)&gt;0,1,0)     +     'Liste des effets'!$D$17*IF(IFERROR(SEARCH('Liste des effets'!$B$17,B19),0)&gt;0,1,0)     +     'Liste des effets'!$D$18*IF(IFERROR(SEARCH('Liste des effets'!$B$18,B19),0)&gt;0,1,0)     +     'Liste des effets'!$D$19*IF(IFERROR(SEARCH('Liste des effets'!$B$19,B19),0)&gt;0,1,0)      +     IF(IFERROR(SEARCH('Liste des effets'!$B$20,B19),0)&gt;0,1,0)    *     IF(B17='Equilibrage de base des sorts'!$B$5,'Equilibrage de base des sorts'!$C$9,0)      +     IF(IFERROR(SEARCH('Liste des effets'!$B$20,B19),0)&gt;0,1,0)    *     IF(B17='Equilibrage de base des sorts'!$B$10,'Equilibrage de base des sorts'!$C$14,0)      +     IF(IFERROR(SEARCH('Liste des effets'!$B$20,B19),0)&gt;0,1,0)    *     IF(B17='Equilibrage de base des sorts'!$B$15,'Equilibrage de base des sorts'!$C$19,0)      +     IF(IFERROR(SEARCH('Liste des effets'!$B$20,B19),0)&gt;0,1,0)    *     IF(B17='Equilibrage de base des sorts'!$B$20,'Equilibrage de base des sorts'!$C$24,0)</f>
        <v>12.5</v>
      </c>
      <c r="H20" s="25"/>
      <c r="I20" s="26"/>
      <c r="K20" s="15" t="s">
        <v>52</v>
      </c>
      <c r="L20" s="15">
        <f>IFERROR('Liste des effets'!$D$5*VALUE(MID(H19,SEARCH('Liste des effets'!$B$5,H19)+LEN('Liste des effets'!$B$5)+1,SEARCH(",",H19,SEARCH('Liste des effets'!$B$5,H19))-(SEARCH('Liste des effets'!$B$5,H19)+LEN('Liste des effets'!$B$5)+1))),0)     +     IFERROR('Liste des effets'!$D$6*VALUE(MID(H19,SEARCH('Liste des effets'!$B$6,H19)+LEN('Liste des effets'!$B$6)+1,SEARCH(",",H19,SEARCH('Liste des effets'!$B$6,H19))-(SEARCH('Liste des effets'!$B$6,H19)+LEN('Liste des effets'!$B$6)+1))),0)     +     IFERROR('Liste des effets'!$D$7*VALUE(MID(H19,SEARCH('Liste des effets'!$B$7,H19)+LEN('Liste des effets'!$B$7)+1,SEARCH(",",H19,SEARCH('Liste des effets'!$B$7,H19))-(SEARCH('Liste des effets'!$B$7,H19)+LEN('Liste des effets'!$B$7)+1))),0)     +     IFERROR('Liste des effets'!$D$8*VALUE(MID(H19,SEARCH('Liste des effets'!$B$8,H19)+LEN('Liste des effets'!$B$8)+1,SEARCH(",",H19,SEARCH('Liste des effets'!$B$8,H19))-(SEARCH('Liste des effets'!$B$8,H19)+LEN('Liste des effets'!$B$8)+1))),0)     +     IFERROR('Liste des effets'!$D$9*VALUE(MID(H19,SEARCH('Liste des effets'!$B$9,H19)+LEN('Liste des effets'!$B$9)+1,SEARCH(",",H19,SEARCH('Liste des effets'!$B$9,H19))-(SEARCH('Liste des effets'!$B$9,H19)+LEN('Liste des effets'!$B$9)+1))),0)     +     IFERROR('Liste des effets'!$D$10*VALUE(MID(H19,SEARCH('Liste des effets'!$B$10,H19)+LEN('Liste des effets'!$B$10)+1,SEARCH(",",H19,SEARCH('Liste des effets'!$B$10,H19))-(SEARCH('Liste des effets'!$B$10,H19)+LEN('Liste des effets'!$B$10)+1))),0)     +     IFERROR('Liste des effets'!$D$11*VALUE(MID(H19,SEARCH('Liste des effets'!$B$11,H19)+LEN('Liste des effets'!$B$11)+1,SEARCH(",",H19,SEARCH('Liste des effets'!$B$11,H19))-(SEARCH('Liste des effets'!$B$11,H19)+LEN('Liste des effets'!$B$11)+1))),0)     +     IFERROR('Liste des effets'!$D$12*VALUE(MID(H19,SEARCH('Liste des effets'!$B$12,H19)+LEN('Liste des effets'!$B$12)+1,SEARCH(",",H19,SEARCH('Liste des effets'!$B$12,H19))-(SEARCH('Liste des effets'!$B$12,H19)+LEN('Liste des effets'!$B$12)+1))),0)     +     IFERROR('Liste des effets'!$D$13*VALUE(MID(H19,SEARCH('Liste des effets'!$B$13,H19)+LEN('Liste des effets'!$B$13)+1,SEARCH(",",H19,SEARCH('Liste des effets'!$B$13,H19))-(SEARCH('Liste des effets'!$B$13,H19)+LEN('Liste des effets'!$B$13)+1))),0)     +     IFERROR('Liste des effets'!$D$14*VALUE(MID(H19,SEARCH('Liste des effets'!$B$14,H19)+LEN('Liste des effets'!$B$14)+1,SEARCH(",",H19,SEARCH('Liste des effets'!$B$14,H19))-(SEARCH('Liste des effets'!$B$14,H19)+LEN('Liste des effets'!$B$14)+1))),0)     +     IFERROR('Liste des effets'!$D$15*VALUE(MID(H19,SEARCH('Liste des effets'!$B$15,H19)+LEN('Liste des effets'!$B$15)+1,SEARCH(",",H19,SEARCH('Liste des effets'!$B$15,H19))-(SEARCH('Liste des effets'!$B$15,H19)+LEN('Liste des effets'!$B$15)+1))),0)     +     'Liste des effets'!$D$16*IF(IFERROR(SEARCH('Liste des effets'!$B$16,H19),0)&gt;0,1,0)     +     'Liste des effets'!$D$17*IF(IFERROR(SEARCH('Liste des effets'!$B$17,H19),0)&gt;0,1,0)     +     'Liste des effets'!$D$18*IF(IFERROR(SEARCH('Liste des effets'!$B$18,H19),0)&gt;0,1,0)     +     'Liste des effets'!$D$19*IF(IFERROR(SEARCH('Liste des effets'!$B$19,H19),0)&gt;0,1,0)      +     IF(IFERROR(SEARCH('Liste des effets'!$B$20,H19),0)&gt;0,1,0)    *     IF(H17='Equilibrage de base des sorts'!$B$5,'Equilibrage de base des sorts'!$C$9,0)      +     IF(IFERROR(SEARCH('Liste des effets'!$B$20,H19),0)&gt;0,1,0)    *     IF(H17='Equilibrage de base des sorts'!$B$10,'Equilibrage de base des sorts'!$C$14,0)      +     IF(IFERROR(SEARCH('Liste des effets'!$B$20,H19),0)&gt;0,1,0)    *     IF(H17='Equilibrage de base des sorts'!$B$15,'Equilibrage de base des sorts'!$C$19,0)      +     IF(IFERROR(SEARCH('Liste des effets'!$B$20,H19),0)&gt;0,1,0)    *     IF(H17='Equilibrage de base des sorts'!$B$20,'Equilibrage de base des sorts'!$C$24,0)</f>
        <v>30.5</v>
      </c>
      <c r="N20" s="25"/>
      <c r="O20" s="26"/>
      <c r="Q20" s="15" t="s">
        <v>52</v>
      </c>
      <c r="R20" s="15">
        <f>IFERROR('Liste des effets'!$D$5*VALUE(MID(N19,SEARCH('Liste des effets'!$B$5,N19)+LEN('Liste des effets'!$B$5)+1,SEARCH(",",N19,SEARCH('Liste des effets'!$B$5,N19))-(SEARCH('Liste des effets'!$B$5,N19)+LEN('Liste des effets'!$B$5)+1))),0)     +     IFERROR('Liste des effets'!$D$6*VALUE(MID(N19,SEARCH('Liste des effets'!$B$6,N19)+LEN('Liste des effets'!$B$6)+1,SEARCH(",",N19,SEARCH('Liste des effets'!$B$6,N19))-(SEARCH('Liste des effets'!$B$6,N19)+LEN('Liste des effets'!$B$6)+1))),0)     +     IFERROR('Liste des effets'!$D$7*VALUE(MID(N19,SEARCH('Liste des effets'!$B$7,N19)+LEN('Liste des effets'!$B$7)+1,SEARCH(",",N19,SEARCH('Liste des effets'!$B$7,N19))-(SEARCH('Liste des effets'!$B$7,N19)+LEN('Liste des effets'!$B$7)+1))),0)     +     IFERROR('Liste des effets'!$D$8*VALUE(MID(N19,SEARCH('Liste des effets'!$B$8,N19)+LEN('Liste des effets'!$B$8)+1,SEARCH(",",N19,SEARCH('Liste des effets'!$B$8,N19))-(SEARCH('Liste des effets'!$B$8,N19)+LEN('Liste des effets'!$B$8)+1))),0)     +     IFERROR('Liste des effets'!$D$9*VALUE(MID(N19,SEARCH('Liste des effets'!$B$9,N19)+LEN('Liste des effets'!$B$9)+1,SEARCH(",",N19,SEARCH('Liste des effets'!$B$9,N19))-(SEARCH('Liste des effets'!$B$9,N19)+LEN('Liste des effets'!$B$9)+1))),0)     +     IFERROR('Liste des effets'!$D$10*VALUE(MID(N19,SEARCH('Liste des effets'!$B$10,N19)+LEN('Liste des effets'!$B$10)+1,SEARCH(",",N19,SEARCH('Liste des effets'!$B$10,N19))-(SEARCH('Liste des effets'!$B$10,N19)+LEN('Liste des effets'!$B$10)+1))),0)     +     IFERROR('Liste des effets'!$D$11*VALUE(MID(N19,SEARCH('Liste des effets'!$B$11,N19)+LEN('Liste des effets'!$B$11)+1,SEARCH(",",N19,SEARCH('Liste des effets'!$B$11,N19))-(SEARCH('Liste des effets'!$B$11,N19)+LEN('Liste des effets'!$B$11)+1))),0)     +     IFERROR('Liste des effets'!$D$12*VALUE(MID(N19,SEARCH('Liste des effets'!$B$12,N19)+LEN('Liste des effets'!$B$12)+1,SEARCH(",",N19,SEARCH('Liste des effets'!$B$12,N19))-(SEARCH('Liste des effets'!$B$12,N19)+LEN('Liste des effets'!$B$12)+1))),0)     +     IFERROR('Liste des effets'!$D$13*VALUE(MID(N19,SEARCH('Liste des effets'!$B$13,N19)+LEN('Liste des effets'!$B$13)+1,SEARCH(",",N19,SEARCH('Liste des effets'!$B$13,N19))-(SEARCH('Liste des effets'!$B$13,N19)+LEN('Liste des effets'!$B$13)+1))),0)     +     IFERROR('Liste des effets'!$D$14*VALUE(MID(N19,SEARCH('Liste des effets'!$B$14,N19)+LEN('Liste des effets'!$B$14)+1,SEARCH(",",N19,SEARCH('Liste des effets'!$B$14,N19))-(SEARCH('Liste des effets'!$B$14,N19)+LEN('Liste des effets'!$B$14)+1))),0)     +     IFERROR('Liste des effets'!$D$15*VALUE(MID(N19,SEARCH('Liste des effets'!$B$15,N19)+LEN('Liste des effets'!$B$15)+1,SEARCH(",",N19,SEARCH('Liste des effets'!$B$15,N19))-(SEARCH('Liste des effets'!$B$15,N19)+LEN('Liste des effets'!$B$15)+1))),0)     +     'Liste des effets'!$D$16*IF(IFERROR(SEARCH('Liste des effets'!$B$16,N19),0)&gt;0,1,0)     +     'Liste des effets'!$D$17*IF(IFERROR(SEARCH('Liste des effets'!$B$17,N19),0)&gt;0,1,0)     +     'Liste des effets'!$D$18*IF(IFERROR(SEARCH('Liste des effets'!$B$18,N19),0)&gt;0,1,0)     +     'Liste des effets'!$D$19*IF(IFERROR(SEARCH('Liste des effets'!$B$19,N19),0)&gt;0,1,0)      +     IF(IFERROR(SEARCH('Liste des effets'!$B$20,N19),0)&gt;0,1,0)    *     IF(N17='Equilibrage de base des sorts'!$B$5,'Equilibrage de base des sorts'!$C$9,0)      +     IF(IFERROR(SEARCH('Liste des effets'!$B$20,N19),0)&gt;0,1,0)    *     IF(N17='Equilibrage de base des sorts'!$B$10,'Equilibrage de base des sorts'!$C$14,0)      +     IF(IFERROR(SEARCH('Liste des effets'!$B$20,N19),0)&gt;0,1,0)    *     IF(N17='Equilibrage de base des sorts'!$B$15,'Equilibrage de base des sorts'!$C$19,0)      +     IF(IFERROR(SEARCH('Liste des effets'!$B$20,N19),0)&gt;0,1,0)    *     IF(N17='Equilibrage de base des sorts'!$B$20,'Equilibrage de base des sorts'!$C$24,0)</f>
        <v>15</v>
      </c>
    </row>
    <row r="21" spans="2:18" x14ac:dyDescent="0.25">
      <c r="B21" s="25"/>
      <c r="C21" s="26"/>
      <c r="E21" s="2" t="s">
        <v>53</v>
      </c>
      <c r="F21" s="2">
        <f>F18+F19+F20</f>
        <v>10.5</v>
      </c>
      <c r="H21" s="25"/>
      <c r="I21" s="26"/>
      <c r="K21" s="2" t="s">
        <v>53</v>
      </c>
      <c r="L21" s="2">
        <f>L18+L19+L20</f>
        <v>9.5</v>
      </c>
      <c r="N21" s="25"/>
      <c r="O21" s="26"/>
      <c r="Q21" s="2" t="s">
        <v>53</v>
      </c>
      <c r="R21" s="2">
        <f>R18+R19+R20</f>
        <v>9</v>
      </c>
    </row>
    <row r="22" spans="2:18" ht="15.75" thickBot="1" x14ac:dyDescent="0.3">
      <c r="B22" s="27"/>
      <c r="C22" s="28"/>
      <c r="H22" s="27"/>
      <c r="I22" s="28"/>
      <c r="N22" s="27"/>
      <c r="O22" s="28"/>
    </row>
    <row r="23" spans="2:18" ht="15.75" thickBot="1" x14ac:dyDescent="0.3"/>
    <row r="24" spans="2:18" ht="18.75" x14ac:dyDescent="0.25">
      <c r="B24" s="19" t="s">
        <v>137</v>
      </c>
      <c r="C24" s="20"/>
      <c r="H24" s="19" t="s">
        <v>134</v>
      </c>
      <c r="I24" s="20"/>
    </row>
    <row r="25" spans="2:18" x14ac:dyDescent="0.25">
      <c r="B25" s="9" t="s">
        <v>48</v>
      </c>
      <c r="C25" s="10" t="s">
        <v>67</v>
      </c>
      <c r="E25" s="21" t="s">
        <v>54</v>
      </c>
      <c r="F25" s="22"/>
      <c r="H25" s="9" t="s">
        <v>48</v>
      </c>
      <c r="I25" s="10" t="s">
        <v>67</v>
      </c>
      <c r="K25" s="21" t="s">
        <v>54</v>
      </c>
      <c r="L25" s="22"/>
    </row>
    <row r="26" spans="2:18" ht="15.75" thickBot="1" x14ac:dyDescent="0.3">
      <c r="B26" s="9">
        <v>5</v>
      </c>
      <c r="C26" s="14">
        <v>5</v>
      </c>
      <c r="E26" t="s">
        <v>37</v>
      </c>
      <c r="F26">
        <f>IF(B25='Equilibrage de base des sorts'!$B$5,'Equilibrage de base des sorts'!$C$7-B26,0)*'Equilibrage de base des sorts'!$C$8    +    IF(B25='Equilibrage de base des sorts'!$B$10,'Equilibrage de base des sorts'!$C$12-B26,0)*'Equilibrage de base des sorts'!$C$13    +    IF(B25='Equilibrage de base des sorts'!$B$15,'Equilibrage de base des sorts'!$C$17-B26,0)*'Equilibrage de base des sorts'!$C$18    +    IF(B25='Equilibrage de base des sorts'!$B$20,'Equilibrage de base des sorts'!$C$22-B26,0)*'Equilibrage de base des sorts'!$C$23</f>
        <v>-4</v>
      </c>
      <c r="H26" s="9">
        <v>1</v>
      </c>
      <c r="I26" s="14">
        <v>3</v>
      </c>
      <c r="K26" t="s">
        <v>37</v>
      </c>
      <c r="L26">
        <f>IF(H25='Equilibrage de base des sorts'!$B$5,'Equilibrage de base des sorts'!$C$7-H26,0)*'Equilibrage de base des sorts'!$C$8    +    IF(H25='Equilibrage de base des sorts'!$B$10,'Equilibrage de base des sorts'!$C$12-H26,0)*'Equilibrage de base des sorts'!$C$13    +    IF(H25='Equilibrage de base des sorts'!$B$15,'Equilibrage de base des sorts'!$C$17-H26,0)*'Equilibrage de base des sorts'!$C$18    +    IF(H25='Equilibrage de base des sorts'!$B$20,'Equilibrage de base des sorts'!$C$22-H26,0)*'Equilibrage de base des sorts'!$C$23</f>
        <v>12</v>
      </c>
    </row>
    <row r="27" spans="2:18" x14ac:dyDescent="0.25">
      <c r="B27" s="23" t="s">
        <v>122</v>
      </c>
      <c r="C27" s="24"/>
      <c r="E27" t="s">
        <v>51</v>
      </c>
      <c r="F27">
        <f>-C26*5</f>
        <v>-25</v>
      </c>
      <c r="H27" s="23" t="s">
        <v>131</v>
      </c>
      <c r="I27" s="24"/>
      <c r="K27" t="s">
        <v>51</v>
      </c>
      <c r="L27">
        <f>-I26*5</f>
        <v>-15</v>
      </c>
    </row>
    <row r="28" spans="2:18" x14ac:dyDescent="0.25">
      <c r="B28" s="25"/>
      <c r="C28" s="26"/>
      <c r="E28" s="15" t="s">
        <v>52</v>
      </c>
      <c r="F28" s="15">
        <f>IFERROR('Liste des effets'!$D$5*VALUE(MID(B27,SEARCH('Liste des effets'!$B$5,B27)+LEN('Liste des effets'!$B$5)+1,SEARCH(",",B27,SEARCH('Liste des effets'!$B$5,B27))-(SEARCH('Liste des effets'!$B$5,B27)+LEN('Liste des effets'!$B$5)+1))),0)     +     IFERROR('Liste des effets'!$D$6*VALUE(MID(B27,SEARCH('Liste des effets'!$B$6,B27)+LEN('Liste des effets'!$B$6)+1,SEARCH(",",B27,SEARCH('Liste des effets'!$B$6,B27))-(SEARCH('Liste des effets'!$B$6,B27)+LEN('Liste des effets'!$B$6)+1))),0)     +     IFERROR('Liste des effets'!$D$7*VALUE(MID(B27,SEARCH('Liste des effets'!$B$7,B27)+LEN('Liste des effets'!$B$7)+1,SEARCH(",",B27,SEARCH('Liste des effets'!$B$7,B27))-(SEARCH('Liste des effets'!$B$7,B27)+LEN('Liste des effets'!$B$7)+1))),0)     +     IFERROR('Liste des effets'!$D$8*VALUE(MID(B27,SEARCH('Liste des effets'!$B$8,B27)+LEN('Liste des effets'!$B$8)+1,SEARCH(",",B27,SEARCH('Liste des effets'!$B$8,B27))-(SEARCH('Liste des effets'!$B$8,B27)+LEN('Liste des effets'!$B$8)+1))),0)     +     IFERROR('Liste des effets'!$D$9*VALUE(MID(B27,SEARCH('Liste des effets'!$B$9,B27)+LEN('Liste des effets'!$B$9)+1,SEARCH(",",B27,SEARCH('Liste des effets'!$B$9,B27))-(SEARCH('Liste des effets'!$B$9,B27)+LEN('Liste des effets'!$B$9)+1))),0)     +     IFERROR('Liste des effets'!$D$10*VALUE(MID(B27,SEARCH('Liste des effets'!$B$10,B27)+LEN('Liste des effets'!$B$10)+1,SEARCH(",",B27,SEARCH('Liste des effets'!$B$10,B27))-(SEARCH('Liste des effets'!$B$10,B27)+LEN('Liste des effets'!$B$10)+1))),0)     +     IFERROR('Liste des effets'!$D$11*VALUE(MID(B27,SEARCH('Liste des effets'!$B$11,B27)+LEN('Liste des effets'!$B$11)+1,SEARCH(",",B27,SEARCH('Liste des effets'!$B$11,B27))-(SEARCH('Liste des effets'!$B$11,B27)+LEN('Liste des effets'!$B$11)+1))),0)     +     IFERROR('Liste des effets'!$D$12*VALUE(MID(B27,SEARCH('Liste des effets'!$B$12,B27)+LEN('Liste des effets'!$B$12)+1,SEARCH(",",B27,SEARCH('Liste des effets'!$B$12,B27))-(SEARCH('Liste des effets'!$B$12,B27)+LEN('Liste des effets'!$B$12)+1))),0)     +     IFERROR('Liste des effets'!$D$13*VALUE(MID(B27,SEARCH('Liste des effets'!$B$13,B27)+LEN('Liste des effets'!$B$13)+1,SEARCH(",",B27,SEARCH('Liste des effets'!$B$13,B27))-(SEARCH('Liste des effets'!$B$13,B27)+LEN('Liste des effets'!$B$13)+1))),0)     +     IFERROR('Liste des effets'!$D$14*VALUE(MID(B27,SEARCH('Liste des effets'!$B$14,B27)+LEN('Liste des effets'!$B$14)+1,SEARCH(",",B27,SEARCH('Liste des effets'!$B$14,B27))-(SEARCH('Liste des effets'!$B$14,B27)+LEN('Liste des effets'!$B$14)+1))),0)     +     IFERROR('Liste des effets'!$D$15*VALUE(MID(B27,SEARCH('Liste des effets'!$B$15,B27)+LEN('Liste des effets'!$B$15)+1,SEARCH(",",B27,SEARCH('Liste des effets'!$B$15,B27))-(SEARCH('Liste des effets'!$B$15,B27)+LEN('Liste des effets'!$B$15)+1))),0)     +     'Liste des effets'!$D$16*IF(IFERROR(SEARCH('Liste des effets'!$B$16,B27),0)&gt;0,1,0)     +     'Liste des effets'!$D$17*IF(IFERROR(SEARCH('Liste des effets'!$B$17,B27),0)&gt;0,1,0)     +     'Liste des effets'!$D$18*IF(IFERROR(SEARCH('Liste des effets'!$B$18,B27),0)&gt;0,1,0)     +     'Liste des effets'!$D$19*IF(IFERROR(SEARCH('Liste des effets'!$B$19,B27),0)&gt;0,1,0)      +     IF(IFERROR(SEARCH('Liste des effets'!$B$20,B27),0)&gt;0,1,0)    *     IF(B25='Equilibrage de base des sorts'!$B$5,'Equilibrage de base des sorts'!$C$9,0)      +     IF(IFERROR(SEARCH('Liste des effets'!$B$20,B27),0)&gt;0,1,0)    *     IF(B25='Equilibrage de base des sorts'!$B$10,'Equilibrage de base des sorts'!$C$14,0)      +     IF(IFERROR(SEARCH('Liste des effets'!$B$20,B27),0)&gt;0,1,0)    *     IF(B25='Equilibrage de base des sorts'!$B$15,'Equilibrage de base des sorts'!$C$19,0)      +     IF(IFERROR(SEARCH('Liste des effets'!$B$20,B27),0)&gt;0,1,0)    *     IF(B25='Equilibrage de base des sorts'!$B$20,'Equilibrage de base des sorts'!$C$24,0)</f>
        <v>40</v>
      </c>
      <c r="H28" s="25"/>
      <c r="I28" s="26"/>
      <c r="K28" s="15" t="s">
        <v>52</v>
      </c>
      <c r="L28" s="15">
        <f>IFERROR('Liste des effets'!$D$5*VALUE(MID(H27,SEARCH('Liste des effets'!$B$5,H27)+LEN('Liste des effets'!$B$5)+1,SEARCH(",",H27,SEARCH('Liste des effets'!$B$5,H27))-(SEARCH('Liste des effets'!$B$5,H27)+LEN('Liste des effets'!$B$5)+1))),0)     +     IFERROR('Liste des effets'!$D$6*VALUE(MID(H27,SEARCH('Liste des effets'!$B$6,H27)+LEN('Liste des effets'!$B$6)+1,SEARCH(",",H27,SEARCH('Liste des effets'!$B$6,H27))-(SEARCH('Liste des effets'!$B$6,H27)+LEN('Liste des effets'!$B$6)+1))),0)     +     IFERROR('Liste des effets'!$D$7*VALUE(MID(H27,SEARCH('Liste des effets'!$B$7,H27)+LEN('Liste des effets'!$B$7)+1,SEARCH(",",H27,SEARCH('Liste des effets'!$B$7,H27))-(SEARCH('Liste des effets'!$B$7,H27)+LEN('Liste des effets'!$B$7)+1))),0)     +     IFERROR('Liste des effets'!$D$8*VALUE(MID(H27,SEARCH('Liste des effets'!$B$8,H27)+LEN('Liste des effets'!$B$8)+1,SEARCH(",",H27,SEARCH('Liste des effets'!$B$8,H27))-(SEARCH('Liste des effets'!$B$8,H27)+LEN('Liste des effets'!$B$8)+1))),0)     +     IFERROR('Liste des effets'!$D$9*VALUE(MID(H27,SEARCH('Liste des effets'!$B$9,H27)+LEN('Liste des effets'!$B$9)+1,SEARCH(",",H27,SEARCH('Liste des effets'!$B$9,H27))-(SEARCH('Liste des effets'!$B$9,H27)+LEN('Liste des effets'!$B$9)+1))),0)     +     IFERROR('Liste des effets'!$D$10*VALUE(MID(H27,SEARCH('Liste des effets'!$B$10,H27)+LEN('Liste des effets'!$B$10)+1,SEARCH(",",H27,SEARCH('Liste des effets'!$B$10,H27))-(SEARCH('Liste des effets'!$B$10,H27)+LEN('Liste des effets'!$B$10)+1))),0)     +     IFERROR('Liste des effets'!$D$11*VALUE(MID(H27,SEARCH('Liste des effets'!$B$11,H27)+LEN('Liste des effets'!$B$11)+1,SEARCH(",",H27,SEARCH('Liste des effets'!$B$11,H27))-(SEARCH('Liste des effets'!$B$11,H27)+LEN('Liste des effets'!$B$11)+1))),0)     +     IFERROR('Liste des effets'!$D$12*VALUE(MID(H27,SEARCH('Liste des effets'!$B$12,H27)+LEN('Liste des effets'!$B$12)+1,SEARCH(",",H27,SEARCH('Liste des effets'!$B$12,H27))-(SEARCH('Liste des effets'!$B$12,H27)+LEN('Liste des effets'!$B$12)+1))),0)     +     IFERROR('Liste des effets'!$D$13*VALUE(MID(H27,SEARCH('Liste des effets'!$B$13,H27)+LEN('Liste des effets'!$B$13)+1,SEARCH(",",H27,SEARCH('Liste des effets'!$B$13,H27))-(SEARCH('Liste des effets'!$B$13,H27)+LEN('Liste des effets'!$B$13)+1))),0)     +     IFERROR('Liste des effets'!$D$14*VALUE(MID(H27,SEARCH('Liste des effets'!$B$14,H27)+LEN('Liste des effets'!$B$14)+1,SEARCH(",",H27,SEARCH('Liste des effets'!$B$14,H27))-(SEARCH('Liste des effets'!$B$14,H27)+LEN('Liste des effets'!$B$14)+1))),0)     +     IFERROR('Liste des effets'!$D$15*VALUE(MID(H27,SEARCH('Liste des effets'!$B$15,H27)+LEN('Liste des effets'!$B$15)+1,SEARCH(",",H27,SEARCH('Liste des effets'!$B$15,H27))-(SEARCH('Liste des effets'!$B$15,H27)+LEN('Liste des effets'!$B$15)+1))),0)     +     'Liste des effets'!$D$16*IF(IFERROR(SEARCH('Liste des effets'!$B$16,H27),0)&gt;0,1,0)     +     'Liste des effets'!$D$17*IF(IFERROR(SEARCH('Liste des effets'!$B$17,H27),0)&gt;0,1,0)     +     'Liste des effets'!$D$18*IF(IFERROR(SEARCH('Liste des effets'!$B$18,H27),0)&gt;0,1,0)     +     'Liste des effets'!$D$19*IF(IFERROR(SEARCH('Liste des effets'!$B$19,H27),0)&gt;0,1,0)      +     IF(IFERROR(SEARCH('Liste des effets'!$B$20,H27),0)&gt;0,1,0)    *     IF(H25='Equilibrage de base des sorts'!$B$5,'Equilibrage de base des sorts'!$C$9,0)      +     IF(IFERROR(SEARCH('Liste des effets'!$B$20,H27),0)&gt;0,1,0)    *     IF(H25='Equilibrage de base des sorts'!$B$10,'Equilibrage de base des sorts'!$C$14,0)      +     IF(IFERROR(SEARCH('Liste des effets'!$B$20,H27),0)&gt;0,1,0)    *     IF(H25='Equilibrage de base des sorts'!$B$15,'Equilibrage de base des sorts'!$C$19,0)      +     IF(IFERROR(SEARCH('Liste des effets'!$B$20,H27),0)&gt;0,1,0)    *     IF(H25='Equilibrage de base des sorts'!$B$20,'Equilibrage de base des sorts'!$C$24,0)</f>
        <v>13</v>
      </c>
    </row>
    <row r="29" spans="2:18" x14ac:dyDescent="0.25">
      <c r="B29" s="25"/>
      <c r="C29" s="26"/>
      <c r="E29" s="2" t="s">
        <v>53</v>
      </c>
      <c r="F29" s="2">
        <f>F26+F27+F28</f>
        <v>11</v>
      </c>
      <c r="H29" s="25"/>
      <c r="I29" s="26"/>
      <c r="K29" s="2" t="s">
        <v>53</v>
      </c>
      <c r="L29" s="2">
        <f>L26+L27+L28</f>
        <v>10</v>
      </c>
    </row>
    <row r="30" spans="2:18" ht="15.75" thickBot="1" x14ac:dyDescent="0.3">
      <c r="B30" s="27"/>
      <c r="C30" s="28"/>
      <c r="H30" s="27"/>
      <c r="I30" s="28"/>
    </row>
    <row r="31" spans="2:18" ht="15.75" thickBot="1" x14ac:dyDescent="0.3"/>
    <row r="32" spans="2:18" ht="18.75" x14ac:dyDescent="0.25">
      <c r="B32" s="19" t="s">
        <v>179</v>
      </c>
      <c r="C32" s="20"/>
      <c r="H32" s="19" t="s">
        <v>135</v>
      </c>
      <c r="I32" s="20"/>
    </row>
    <row r="33" spans="2:12" x14ac:dyDescent="0.25">
      <c r="B33" s="9" t="s">
        <v>49</v>
      </c>
      <c r="C33" s="10" t="s">
        <v>67</v>
      </c>
      <c r="E33" s="21" t="s">
        <v>54</v>
      </c>
      <c r="F33" s="22"/>
      <c r="H33" s="9" t="s">
        <v>49</v>
      </c>
      <c r="I33" s="10" t="s">
        <v>67</v>
      </c>
      <c r="K33" s="21" t="s">
        <v>54</v>
      </c>
      <c r="L33" s="22"/>
    </row>
    <row r="34" spans="2:12" ht="15.75" thickBot="1" x14ac:dyDescent="0.3">
      <c r="B34" s="9">
        <v>5</v>
      </c>
      <c r="C34" s="14">
        <v>3</v>
      </c>
      <c r="E34" t="s">
        <v>37</v>
      </c>
      <c r="F34">
        <f>IF(B33='Equilibrage de base des sorts'!$B$5,'Equilibrage de base des sorts'!$C$7-B34,0)*'Equilibrage de base des sorts'!$C$8    +    IF(B33='Equilibrage de base des sorts'!$B$10,'Equilibrage de base des sorts'!$C$12-B34,0)*'Equilibrage de base des sorts'!$C$13    +    IF(B33='Equilibrage de base des sorts'!$B$15,'Equilibrage de base des sorts'!$C$17-B34,0)*'Equilibrage de base des sorts'!$C$18    +    IF(B33='Equilibrage de base des sorts'!$B$20,'Equilibrage de base des sorts'!$C$22-B34,0)*'Equilibrage de base des sorts'!$C$23</f>
        <v>-4</v>
      </c>
      <c r="H34" s="9">
        <v>2</v>
      </c>
      <c r="I34" s="14">
        <v>4</v>
      </c>
      <c r="K34" t="s">
        <v>37</v>
      </c>
      <c r="L34">
        <f>IF(H33='Equilibrage de base des sorts'!$B$5,'Equilibrage de base des sorts'!$C$7-H34,0)*'Equilibrage de base des sorts'!$C$8    +    IF(H33='Equilibrage de base des sorts'!$B$10,'Equilibrage de base des sorts'!$C$12-H34,0)*'Equilibrage de base des sorts'!$C$13    +    IF(H33='Equilibrage de base des sorts'!$B$15,'Equilibrage de base des sorts'!$C$17-H34,0)*'Equilibrage de base des sorts'!$C$18    +    IF(H33='Equilibrage de base des sorts'!$B$20,'Equilibrage de base des sorts'!$C$22-H34,0)*'Equilibrage de base des sorts'!$C$23</f>
        <v>8</v>
      </c>
    </row>
    <row r="35" spans="2:12" x14ac:dyDescent="0.25">
      <c r="B35" s="23" t="s">
        <v>126</v>
      </c>
      <c r="C35" s="24"/>
      <c r="E35" t="s">
        <v>51</v>
      </c>
      <c r="F35">
        <f>-C34*5</f>
        <v>-15</v>
      </c>
      <c r="H35" s="23" t="s">
        <v>170</v>
      </c>
      <c r="I35" s="24"/>
      <c r="K35" t="s">
        <v>51</v>
      </c>
      <c r="L35">
        <f>-I34*5</f>
        <v>-20</v>
      </c>
    </row>
    <row r="36" spans="2:12" x14ac:dyDescent="0.25">
      <c r="B36" s="25"/>
      <c r="C36" s="26"/>
      <c r="E36" s="15" t="s">
        <v>52</v>
      </c>
      <c r="F36" s="15">
        <f>IFERROR('Liste des effets'!$D$5*VALUE(MID(B35,SEARCH('Liste des effets'!$B$5,B35)+LEN('Liste des effets'!$B$5)+1,SEARCH(",",B35,SEARCH('Liste des effets'!$B$5,B35))-(SEARCH('Liste des effets'!$B$5,B35)+LEN('Liste des effets'!$B$5)+1))),0)     +     IFERROR('Liste des effets'!$D$6*VALUE(MID(B35,SEARCH('Liste des effets'!$B$6,B35)+LEN('Liste des effets'!$B$6)+1,SEARCH(",",B35,SEARCH('Liste des effets'!$B$6,B35))-(SEARCH('Liste des effets'!$B$6,B35)+LEN('Liste des effets'!$B$6)+1))),0)     +     IFERROR('Liste des effets'!$D$7*VALUE(MID(B35,SEARCH('Liste des effets'!$B$7,B35)+LEN('Liste des effets'!$B$7)+1,SEARCH(",",B35,SEARCH('Liste des effets'!$B$7,B35))-(SEARCH('Liste des effets'!$B$7,B35)+LEN('Liste des effets'!$B$7)+1))),0)     +     IFERROR('Liste des effets'!$D$8*VALUE(MID(B35,SEARCH('Liste des effets'!$B$8,B35)+LEN('Liste des effets'!$B$8)+1,SEARCH(",",B35,SEARCH('Liste des effets'!$B$8,B35))-(SEARCH('Liste des effets'!$B$8,B35)+LEN('Liste des effets'!$B$8)+1))),0)     +     IFERROR('Liste des effets'!$D$9*VALUE(MID(B35,SEARCH('Liste des effets'!$B$9,B35)+LEN('Liste des effets'!$B$9)+1,SEARCH(",",B35,SEARCH('Liste des effets'!$B$9,B35))-(SEARCH('Liste des effets'!$B$9,B35)+LEN('Liste des effets'!$B$9)+1))),0)     +     IFERROR('Liste des effets'!$D$10*VALUE(MID(B35,SEARCH('Liste des effets'!$B$10,B35)+LEN('Liste des effets'!$B$10)+1,SEARCH(",",B35,SEARCH('Liste des effets'!$B$10,B35))-(SEARCH('Liste des effets'!$B$10,B35)+LEN('Liste des effets'!$B$10)+1))),0)     +     IFERROR('Liste des effets'!$D$11*VALUE(MID(B35,SEARCH('Liste des effets'!$B$11,B35)+LEN('Liste des effets'!$B$11)+1,SEARCH(",",B35,SEARCH('Liste des effets'!$B$11,B35))-(SEARCH('Liste des effets'!$B$11,B35)+LEN('Liste des effets'!$B$11)+1))),0)     +     IFERROR('Liste des effets'!$D$12*VALUE(MID(B35,SEARCH('Liste des effets'!$B$12,B35)+LEN('Liste des effets'!$B$12)+1,SEARCH(",",B35,SEARCH('Liste des effets'!$B$12,B35))-(SEARCH('Liste des effets'!$B$12,B35)+LEN('Liste des effets'!$B$12)+1))),0)     +     IFERROR('Liste des effets'!$D$13*VALUE(MID(B35,SEARCH('Liste des effets'!$B$13,B35)+LEN('Liste des effets'!$B$13)+1,SEARCH(",",B35,SEARCH('Liste des effets'!$B$13,B35))-(SEARCH('Liste des effets'!$B$13,B35)+LEN('Liste des effets'!$B$13)+1))),0)     +     IFERROR('Liste des effets'!$D$14*VALUE(MID(B35,SEARCH('Liste des effets'!$B$14,B35)+LEN('Liste des effets'!$B$14)+1,SEARCH(",",B35,SEARCH('Liste des effets'!$B$14,B35))-(SEARCH('Liste des effets'!$B$14,B35)+LEN('Liste des effets'!$B$14)+1))),0)     +     IFERROR('Liste des effets'!$D$15*VALUE(MID(B35,SEARCH('Liste des effets'!$B$15,B35)+LEN('Liste des effets'!$B$15)+1,SEARCH(",",B35,SEARCH('Liste des effets'!$B$15,B35))-(SEARCH('Liste des effets'!$B$15,B35)+LEN('Liste des effets'!$B$15)+1))),0)     +     'Liste des effets'!$D$16*IF(IFERROR(SEARCH('Liste des effets'!$B$16,B35),0)&gt;0,1,0)     +     'Liste des effets'!$D$17*IF(IFERROR(SEARCH('Liste des effets'!$B$17,B35),0)&gt;0,1,0)     +     'Liste des effets'!$D$18*IF(IFERROR(SEARCH('Liste des effets'!$B$18,B35),0)&gt;0,1,0)     +     'Liste des effets'!$D$19*IF(IFERROR(SEARCH('Liste des effets'!$B$19,B35),0)&gt;0,1,0)      +     IF(IFERROR(SEARCH('Liste des effets'!$B$20,B35),0)&gt;0,1,0)    *     IF(B33='Equilibrage de base des sorts'!$B$5,'Equilibrage de base des sorts'!$C$9,0)      +     IF(IFERROR(SEARCH('Liste des effets'!$B$20,B35),0)&gt;0,1,0)    *     IF(B33='Equilibrage de base des sorts'!$B$10,'Equilibrage de base des sorts'!$C$14,0)      +     IF(IFERROR(SEARCH('Liste des effets'!$B$20,B35),0)&gt;0,1,0)    *     IF(B33='Equilibrage de base des sorts'!$B$15,'Equilibrage de base des sorts'!$C$19,0)      +     IF(IFERROR(SEARCH('Liste des effets'!$B$20,B35),0)&gt;0,1,0)    *     IF(B33='Equilibrage de base des sorts'!$B$20,'Equilibrage de base des sorts'!$C$24,0)</f>
        <v>30</v>
      </c>
      <c r="H36" s="25"/>
      <c r="I36" s="26"/>
      <c r="K36" s="15" t="s">
        <v>52</v>
      </c>
      <c r="L36" s="15">
        <f>IFERROR('Liste des effets'!$D$5*VALUE(MID(H35,SEARCH('Liste des effets'!$B$5,H35)+LEN('Liste des effets'!$B$5)+1,SEARCH(",",H35,SEARCH('Liste des effets'!$B$5,H35))-(SEARCH('Liste des effets'!$B$5,H35)+LEN('Liste des effets'!$B$5)+1))),0)     +     IFERROR('Liste des effets'!$D$6*VALUE(MID(H35,SEARCH('Liste des effets'!$B$6,H35)+LEN('Liste des effets'!$B$6)+1,SEARCH(",",H35,SEARCH('Liste des effets'!$B$6,H35))-(SEARCH('Liste des effets'!$B$6,H35)+LEN('Liste des effets'!$B$6)+1))),0)     +     IFERROR('Liste des effets'!$D$7*VALUE(MID(H35,SEARCH('Liste des effets'!$B$7,H35)+LEN('Liste des effets'!$B$7)+1,SEARCH(",",H35,SEARCH('Liste des effets'!$B$7,H35))-(SEARCH('Liste des effets'!$B$7,H35)+LEN('Liste des effets'!$B$7)+1))),0)     +     IFERROR('Liste des effets'!$D$8*VALUE(MID(H35,SEARCH('Liste des effets'!$B$8,H35)+LEN('Liste des effets'!$B$8)+1,SEARCH(",",H35,SEARCH('Liste des effets'!$B$8,H35))-(SEARCH('Liste des effets'!$B$8,H35)+LEN('Liste des effets'!$B$8)+1))),0)     +     IFERROR('Liste des effets'!$D$9*VALUE(MID(H35,SEARCH('Liste des effets'!$B$9,H35)+LEN('Liste des effets'!$B$9)+1,SEARCH(",",H35,SEARCH('Liste des effets'!$B$9,H35))-(SEARCH('Liste des effets'!$B$9,H35)+LEN('Liste des effets'!$B$9)+1))),0)     +     IFERROR('Liste des effets'!$D$10*VALUE(MID(H35,SEARCH('Liste des effets'!$B$10,H35)+LEN('Liste des effets'!$B$10)+1,SEARCH(",",H35,SEARCH('Liste des effets'!$B$10,H35))-(SEARCH('Liste des effets'!$B$10,H35)+LEN('Liste des effets'!$B$10)+1))),0)     +     IFERROR('Liste des effets'!$D$11*VALUE(MID(H35,SEARCH('Liste des effets'!$B$11,H35)+LEN('Liste des effets'!$B$11)+1,SEARCH(",",H35,SEARCH('Liste des effets'!$B$11,H35))-(SEARCH('Liste des effets'!$B$11,H35)+LEN('Liste des effets'!$B$11)+1))),0)     +     IFERROR('Liste des effets'!$D$12*VALUE(MID(H35,SEARCH('Liste des effets'!$B$12,H35)+LEN('Liste des effets'!$B$12)+1,SEARCH(",",H35,SEARCH('Liste des effets'!$B$12,H35))-(SEARCH('Liste des effets'!$B$12,H35)+LEN('Liste des effets'!$B$12)+1))),0)     +     IFERROR('Liste des effets'!$D$13*VALUE(MID(H35,SEARCH('Liste des effets'!$B$13,H35)+LEN('Liste des effets'!$B$13)+1,SEARCH(",",H35,SEARCH('Liste des effets'!$B$13,H35))-(SEARCH('Liste des effets'!$B$13,H35)+LEN('Liste des effets'!$B$13)+1))),0)     +     IFERROR('Liste des effets'!$D$14*VALUE(MID(H35,SEARCH('Liste des effets'!$B$14,H35)+LEN('Liste des effets'!$B$14)+1,SEARCH(",",H35,SEARCH('Liste des effets'!$B$14,H35))-(SEARCH('Liste des effets'!$B$14,H35)+LEN('Liste des effets'!$B$14)+1))),0)     +     IFERROR('Liste des effets'!$D$15*VALUE(MID(H35,SEARCH('Liste des effets'!$B$15,H35)+LEN('Liste des effets'!$B$15)+1,SEARCH(",",H35,SEARCH('Liste des effets'!$B$15,H35))-(SEARCH('Liste des effets'!$B$15,H35)+LEN('Liste des effets'!$B$15)+1))),0)     +     'Liste des effets'!$D$16*IF(IFERROR(SEARCH('Liste des effets'!$B$16,H35),0)&gt;0,1,0)     +     'Liste des effets'!$D$17*IF(IFERROR(SEARCH('Liste des effets'!$B$17,H35),0)&gt;0,1,0)     +     'Liste des effets'!$D$18*IF(IFERROR(SEARCH('Liste des effets'!$B$18,H35),0)&gt;0,1,0)     +     'Liste des effets'!$D$19*IF(IFERROR(SEARCH('Liste des effets'!$B$19,H35),0)&gt;0,1,0)      +     IF(IFERROR(SEARCH('Liste des effets'!$B$20,H35),0)&gt;0,1,0)    *     IF(H33='Equilibrage de base des sorts'!$B$5,'Equilibrage de base des sorts'!$C$9,0)      +     IF(IFERROR(SEARCH('Liste des effets'!$B$20,H35),0)&gt;0,1,0)    *     IF(H33='Equilibrage de base des sorts'!$B$10,'Equilibrage de base des sorts'!$C$14,0)      +     IF(IFERROR(SEARCH('Liste des effets'!$B$20,H35),0)&gt;0,1,0)    *     IF(H33='Equilibrage de base des sorts'!$B$15,'Equilibrage de base des sorts'!$C$19,0)      +     IF(IFERROR(SEARCH('Liste des effets'!$B$20,H35),0)&gt;0,1,0)    *     IF(H33='Equilibrage de base des sorts'!$B$20,'Equilibrage de base des sorts'!$C$24,0)</f>
        <v>22</v>
      </c>
    </row>
    <row r="37" spans="2:12" x14ac:dyDescent="0.25">
      <c r="B37" s="25"/>
      <c r="C37" s="26"/>
      <c r="E37" s="2" t="s">
        <v>53</v>
      </c>
      <c r="F37" s="2">
        <f>F34+F35+F36</f>
        <v>11</v>
      </c>
      <c r="H37" s="25"/>
      <c r="I37" s="26"/>
      <c r="K37" s="2" t="s">
        <v>53</v>
      </c>
      <c r="L37" s="2">
        <f>L34+L35+L36</f>
        <v>10</v>
      </c>
    </row>
    <row r="38" spans="2:12" ht="15.75" thickBot="1" x14ac:dyDescent="0.3">
      <c r="B38" s="27"/>
      <c r="C38" s="28"/>
      <c r="H38" s="27"/>
      <c r="I38" s="28"/>
    </row>
    <row r="39" spans="2:12" ht="15.75" thickBot="1" x14ac:dyDescent="0.3"/>
    <row r="40" spans="2:12" ht="18.75" customHeight="1" x14ac:dyDescent="0.25">
      <c r="B40" s="19" t="s">
        <v>147</v>
      </c>
      <c r="C40" s="20"/>
    </row>
    <row r="41" spans="2:12" ht="15" customHeight="1" x14ac:dyDescent="0.25">
      <c r="B41" s="9" t="s">
        <v>50</v>
      </c>
      <c r="C41" s="10" t="s">
        <v>67</v>
      </c>
      <c r="E41" s="21" t="s">
        <v>54</v>
      </c>
      <c r="F41" s="22"/>
    </row>
    <row r="42" spans="2:12" ht="15.75" thickBot="1" x14ac:dyDescent="0.3">
      <c r="B42" s="9">
        <v>5</v>
      </c>
      <c r="C42" s="14">
        <v>0</v>
      </c>
      <c r="E42" t="s">
        <v>37</v>
      </c>
      <c r="F42">
        <f>IF(B41='Equilibrage de base des sorts'!$B$5,'Equilibrage de base des sorts'!$C$7-B42,0)*'Equilibrage de base des sorts'!$C$8    +    IF(B41='Equilibrage de base des sorts'!$B$10,'Equilibrage de base des sorts'!$C$12-B42,0)*'Equilibrage de base des sorts'!$C$13    +    IF(B41='Equilibrage de base des sorts'!$B$15,'Equilibrage de base des sorts'!$C$17-B42,0)*'Equilibrage de base des sorts'!$C$18    +    IF(B41='Equilibrage de base des sorts'!$B$20,'Equilibrage de base des sorts'!$C$22-B42,0)*'Equilibrage de base des sorts'!$C$23</f>
        <v>0</v>
      </c>
    </row>
    <row r="43" spans="2:12" ht="15" customHeight="1" x14ac:dyDescent="0.25">
      <c r="B43" s="23" t="s">
        <v>162</v>
      </c>
      <c r="C43" s="24"/>
      <c r="E43" t="s">
        <v>51</v>
      </c>
      <c r="F43">
        <f>-C42*5</f>
        <v>0</v>
      </c>
    </row>
    <row r="44" spans="2:12" x14ac:dyDescent="0.25">
      <c r="B44" s="25"/>
      <c r="C44" s="26"/>
      <c r="E44" s="15" t="s">
        <v>52</v>
      </c>
      <c r="F44" s="15">
        <f>IFERROR('Liste des effets'!$D$5*VALUE(MID(B43,SEARCH('Liste des effets'!$B$5,B43)+LEN('Liste des effets'!$B$5)+1,SEARCH(",",B43,SEARCH('Liste des effets'!$B$5,B43))-(SEARCH('Liste des effets'!$B$5,B43)+LEN('Liste des effets'!$B$5)+1))),0)     +     IFERROR('Liste des effets'!$D$6*VALUE(MID(B43,SEARCH('Liste des effets'!$B$6,B43)+LEN('Liste des effets'!$B$6)+1,SEARCH(",",B43,SEARCH('Liste des effets'!$B$6,B43))-(SEARCH('Liste des effets'!$B$6,B43)+LEN('Liste des effets'!$B$6)+1))),0)     +     IFERROR('Liste des effets'!$D$7*VALUE(MID(B43,SEARCH('Liste des effets'!$B$7,B43)+LEN('Liste des effets'!$B$7)+1,SEARCH(",",B43,SEARCH('Liste des effets'!$B$7,B43))-(SEARCH('Liste des effets'!$B$7,B43)+LEN('Liste des effets'!$B$7)+1))),0)     +     IFERROR('Liste des effets'!$D$8*VALUE(MID(B43,SEARCH('Liste des effets'!$B$8,B43)+LEN('Liste des effets'!$B$8)+1,SEARCH(",",B43,SEARCH('Liste des effets'!$B$8,B43))-(SEARCH('Liste des effets'!$B$8,B43)+LEN('Liste des effets'!$B$8)+1))),0)     +     IFERROR('Liste des effets'!$D$9*VALUE(MID(B43,SEARCH('Liste des effets'!$B$9,B43)+LEN('Liste des effets'!$B$9)+1,SEARCH(",",B43,SEARCH('Liste des effets'!$B$9,B43))-(SEARCH('Liste des effets'!$B$9,B43)+LEN('Liste des effets'!$B$9)+1))),0)     +     IFERROR('Liste des effets'!$D$10*VALUE(MID(B43,SEARCH('Liste des effets'!$B$10,B43)+LEN('Liste des effets'!$B$10)+1,SEARCH(",",B43,SEARCH('Liste des effets'!$B$10,B43))-(SEARCH('Liste des effets'!$B$10,B43)+LEN('Liste des effets'!$B$10)+1))),0)     +     IFERROR('Liste des effets'!$D$11*VALUE(MID(B43,SEARCH('Liste des effets'!$B$11,B43)+LEN('Liste des effets'!$B$11)+1,SEARCH(",",B43,SEARCH('Liste des effets'!$B$11,B43))-(SEARCH('Liste des effets'!$B$11,B43)+LEN('Liste des effets'!$B$11)+1))),0)     +     IFERROR('Liste des effets'!$D$12*VALUE(MID(B43,SEARCH('Liste des effets'!$B$12,B43)+LEN('Liste des effets'!$B$12)+1,SEARCH(",",B43,SEARCH('Liste des effets'!$B$12,B43))-(SEARCH('Liste des effets'!$B$12,B43)+LEN('Liste des effets'!$B$12)+1))),0)     +     IFERROR('Liste des effets'!$D$13*VALUE(MID(B43,SEARCH('Liste des effets'!$B$13,B43)+LEN('Liste des effets'!$B$13)+1,SEARCH(",",B43,SEARCH('Liste des effets'!$B$13,B43))-(SEARCH('Liste des effets'!$B$13,B43)+LEN('Liste des effets'!$B$13)+1))),0)     +     IFERROR('Liste des effets'!$D$14*VALUE(MID(B43,SEARCH('Liste des effets'!$B$14,B43)+LEN('Liste des effets'!$B$14)+1,SEARCH(",",B43,SEARCH('Liste des effets'!$B$14,B43))-(SEARCH('Liste des effets'!$B$14,B43)+LEN('Liste des effets'!$B$14)+1))),0)     +     IFERROR('Liste des effets'!$D$15*VALUE(MID(B43,SEARCH('Liste des effets'!$B$15,B43)+LEN('Liste des effets'!$B$15)+1,SEARCH(",",B43,SEARCH('Liste des effets'!$B$15,B43))-(SEARCH('Liste des effets'!$B$15,B43)+LEN('Liste des effets'!$B$15)+1))),0)     +     'Liste des effets'!$D$16*IF(IFERROR(SEARCH('Liste des effets'!$B$16,B43),0)&gt;0,1,0)     +     'Liste des effets'!$D$17*IF(IFERROR(SEARCH('Liste des effets'!$B$17,B43),0)&gt;0,1,0)     +     'Liste des effets'!$D$18*IF(IFERROR(SEARCH('Liste des effets'!$B$18,B43),0)&gt;0,1,0)     +     'Liste des effets'!$D$19*IF(IFERROR(SEARCH('Liste des effets'!$B$19,B43),0)&gt;0,1,0)      +     IF(IFERROR(SEARCH('Liste des effets'!$B$20,B43),0)&gt;0,1,0)    *     IF(B41='Equilibrage de base des sorts'!$B$5,'Equilibrage de base des sorts'!$C$9,0)      +     IF(IFERROR(SEARCH('Liste des effets'!$B$20,B43),0)&gt;0,1,0)    *     IF(B41='Equilibrage de base des sorts'!$B$10,'Equilibrage de base des sorts'!$C$14,0)      +     IF(IFERROR(SEARCH('Liste des effets'!$B$20,B43),0)&gt;0,1,0)    *     IF(B41='Equilibrage de base des sorts'!$B$15,'Equilibrage de base des sorts'!$C$19,0)      +     IF(IFERROR(SEARCH('Liste des effets'!$B$20,B43),0)&gt;0,1,0)    *     IF(B41='Equilibrage de base des sorts'!$B$20,'Equilibrage de base des sorts'!$C$24,0)</f>
        <v>10</v>
      </c>
    </row>
    <row r="45" spans="2:12" ht="15" customHeight="1" x14ac:dyDescent="0.25">
      <c r="B45" s="25"/>
      <c r="C45" s="26"/>
      <c r="E45" s="2" t="s">
        <v>53</v>
      </c>
      <c r="F45" s="2">
        <f>F42+F43+F44</f>
        <v>10</v>
      </c>
    </row>
    <row r="46" spans="2:12" ht="15.75" thickBot="1" x14ac:dyDescent="0.3">
      <c r="B46" s="27"/>
      <c r="C46" s="28"/>
    </row>
    <row r="48" spans="2:12" ht="18" thickBot="1" x14ac:dyDescent="0.35">
      <c r="B48" s="48" t="s">
        <v>175</v>
      </c>
      <c r="C48" s="48"/>
    </row>
    <row r="49" spans="2:6" ht="16.5" thickTop="1" thickBot="1" x14ac:dyDescent="0.3"/>
    <row r="50" spans="2:6" ht="18.75" x14ac:dyDescent="0.25">
      <c r="B50" s="19" t="s">
        <v>176</v>
      </c>
      <c r="C50" s="20"/>
    </row>
    <row r="51" spans="2:6" x14ac:dyDescent="0.25">
      <c r="B51" s="9" t="s">
        <v>44</v>
      </c>
      <c r="C51" s="10" t="s">
        <v>67</v>
      </c>
      <c r="E51" s="21" t="s">
        <v>54</v>
      </c>
      <c r="F51" s="22"/>
    </row>
    <row r="52" spans="2:6" ht="15.75" thickBot="1" x14ac:dyDescent="0.3">
      <c r="B52" s="9">
        <v>1</v>
      </c>
      <c r="C52" s="14">
        <v>2</v>
      </c>
      <c r="E52" t="s">
        <v>37</v>
      </c>
      <c r="F52">
        <f>IF(B51='Equilibrage de base des sorts'!$B$5,'Equilibrage de base des sorts'!$C$7-B52,0)*'Equilibrage de base des sorts'!$C$8    +    IF(B51='Equilibrage de base des sorts'!$B$10,'Equilibrage de base des sorts'!$C$12-B52,0)*'Equilibrage de base des sorts'!$C$13    +    IF(B51='Equilibrage de base des sorts'!$B$15,'Equilibrage de base des sorts'!$C$17-B52,0)*'Equilibrage de base des sorts'!$C$18    +    IF(B51='Equilibrage de base des sorts'!$B$20,'Equilibrage de base des sorts'!$C$22-B52,0)*'Equilibrage de base des sorts'!$C$23</f>
        <v>12</v>
      </c>
    </row>
    <row r="53" spans="2:6" x14ac:dyDescent="0.25">
      <c r="B53" s="23" t="s">
        <v>177</v>
      </c>
      <c r="C53" s="24"/>
      <c r="E53" t="s">
        <v>51</v>
      </c>
      <c r="F53">
        <f>-C52*5</f>
        <v>-10</v>
      </c>
    </row>
    <row r="54" spans="2:6" x14ac:dyDescent="0.25">
      <c r="B54" s="25"/>
      <c r="C54" s="26"/>
      <c r="E54" s="15" t="s">
        <v>52</v>
      </c>
      <c r="F54" s="15">
        <f>IFERROR('Liste des effets'!$D$5*VALUE(MID(B53,SEARCH('Liste des effets'!$B$5,B53)+LEN('Liste des effets'!$B$5)+1,SEARCH(",",B53,SEARCH('Liste des effets'!$B$5,B53))-(SEARCH('Liste des effets'!$B$5,B53)+LEN('Liste des effets'!$B$5)+1))),0)     +     IFERROR('Liste des effets'!$D$6*VALUE(MID(B53,SEARCH('Liste des effets'!$B$6,B53)+LEN('Liste des effets'!$B$6)+1,SEARCH(",",B53,SEARCH('Liste des effets'!$B$6,B53))-(SEARCH('Liste des effets'!$B$6,B53)+LEN('Liste des effets'!$B$6)+1))),0)     +     IFERROR('Liste des effets'!$D$7*VALUE(MID(B53,SEARCH('Liste des effets'!$B$7,B53)+LEN('Liste des effets'!$B$7)+1,SEARCH(",",B53,SEARCH('Liste des effets'!$B$7,B53))-(SEARCH('Liste des effets'!$B$7,B53)+LEN('Liste des effets'!$B$7)+1))),0)     +     IFERROR('Liste des effets'!$D$8*VALUE(MID(B53,SEARCH('Liste des effets'!$B$8,B53)+LEN('Liste des effets'!$B$8)+1,SEARCH(",",B53,SEARCH('Liste des effets'!$B$8,B53))-(SEARCH('Liste des effets'!$B$8,B53)+LEN('Liste des effets'!$B$8)+1))),0)     +     IFERROR('Liste des effets'!$D$9*VALUE(MID(B53,SEARCH('Liste des effets'!$B$9,B53)+LEN('Liste des effets'!$B$9)+1,SEARCH(",",B53,SEARCH('Liste des effets'!$B$9,B53))-(SEARCH('Liste des effets'!$B$9,B53)+LEN('Liste des effets'!$B$9)+1))),0)     +     IFERROR('Liste des effets'!$D$10*VALUE(MID(B53,SEARCH('Liste des effets'!$B$10,B53)+LEN('Liste des effets'!$B$10)+1,SEARCH(",",B53,SEARCH('Liste des effets'!$B$10,B53))-(SEARCH('Liste des effets'!$B$10,B53)+LEN('Liste des effets'!$B$10)+1))),0)     +     IFERROR('Liste des effets'!$D$11*VALUE(MID(B53,SEARCH('Liste des effets'!$B$11,B53)+LEN('Liste des effets'!$B$11)+1,SEARCH(",",B53,SEARCH('Liste des effets'!$B$11,B53))-(SEARCH('Liste des effets'!$B$11,B53)+LEN('Liste des effets'!$B$11)+1))),0)     +     IFERROR('Liste des effets'!$D$12*VALUE(MID(B53,SEARCH('Liste des effets'!$B$12,B53)+LEN('Liste des effets'!$B$12)+1,SEARCH(",",B53,SEARCH('Liste des effets'!$B$12,B53))-(SEARCH('Liste des effets'!$B$12,B53)+LEN('Liste des effets'!$B$12)+1))),0)     +     IFERROR('Liste des effets'!$D$13*VALUE(MID(B53,SEARCH('Liste des effets'!$B$13,B53)+LEN('Liste des effets'!$B$13)+1,SEARCH(",",B53,SEARCH('Liste des effets'!$B$13,B53))-(SEARCH('Liste des effets'!$B$13,B53)+LEN('Liste des effets'!$B$13)+1))),0)     +     IFERROR('Liste des effets'!$D$14*VALUE(MID(B53,SEARCH('Liste des effets'!$B$14,B53)+LEN('Liste des effets'!$B$14)+1,SEARCH(",",B53,SEARCH('Liste des effets'!$B$14,B53))-(SEARCH('Liste des effets'!$B$14,B53)+LEN('Liste des effets'!$B$14)+1))),0)     +     IFERROR('Liste des effets'!$D$15*VALUE(MID(B53,SEARCH('Liste des effets'!$B$15,B53)+LEN('Liste des effets'!$B$15)+1,SEARCH(",",B53,SEARCH('Liste des effets'!$B$15,B53))-(SEARCH('Liste des effets'!$B$15,B53)+LEN('Liste des effets'!$B$15)+1))),0)     +     'Liste des effets'!$D$16*IF(IFERROR(SEARCH('Liste des effets'!$B$16,B53),0)&gt;0,1,0)     +     'Liste des effets'!$D$17*IF(IFERROR(SEARCH('Liste des effets'!$B$17,B53),0)&gt;0,1,0)     +     'Liste des effets'!$D$18*IF(IFERROR(SEARCH('Liste des effets'!$B$18,B53),0)&gt;0,1,0)     +     'Liste des effets'!$D$19*IF(IFERROR(SEARCH('Liste des effets'!$B$19,B53),0)&gt;0,1,0)      +     IF(IFERROR(SEARCH('Liste des effets'!$B$20,B53),0)&gt;0,1,0)    *     IF(B51='Equilibrage de base des sorts'!$B$5,'Equilibrage de base des sorts'!$C$9,0)      +     IF(IFERROR(SEARCH('Liste des effets'!$B$20,B53),0)&gt;0,1,0)    *     IF(B51='Equilibrage de base des sorts'!$B$10,'Equilibrage de base des sorts'!$C$14,0)      +     IF(IFERROR(SEARCH('Liste des effets'!$B$20,B53),0)&gt;0,1,0)    *     IF(B51='Equilibrage de base des sorts'!$B$15,'Equilibrage de base des sorts'!$C$19,0)      +     IF(IFERROR(SEARCH('Liste des effets'!$B$20,B53),0)&gt;0,1,0)    *     IF(B51='Equilibrage de base des sorts'!$B$20,'Equilibrage de base des sorts'!$C$24,0)</f>
        <v>18</v>
      </c>
    </row>
    <row r="55" spans="2:6" x14ac:dyDescent="0.25">
      <c r="B55" s="25"/>
      <c r="C55" s="26"/>
      <c r="E55" s="2" t="s">
        <v>53</v>
      </c>
      <c r="F55" s="2">
        <f>F52+F53+F54</f>
        <v>20</v>
      </c>
    </row>
    <row r="56" spans="2:6" ht="15.75" thickBot="1" x14ac:dyDescent="0.3">
      <c r="B56" s="27"/>
      <c r="C56" s="28"/>
    </row>
    <row r="57" spans="2:6" ht="15.75" thickBot="1" x14ac:dyDescent="0.3"/>
    <row r="58" spans="2:6" ht="18.75" x14ac:dyDescent="0.25">
      <c r="B58" s="19" t="s">
        <v>185</v>
      </c>
      <c r="C58" s="20"/>
    </row>
    <row r="59" spans="2:6" x14ac:dyDescent="0.25">
      <c r="B59" s="9" t="s">
        <v>48</v>
      </c>
      <c r="C59" s="10" t="s">
        <v>67</v>
      </c>
      <c r="E59" s="21" t="s">
        <v>54</v>
      </c>
      <c r="F59" s="22"/>
    </row>
    <row r="60" spans="2:6" ht="15.75" thickBot="1" x14ac:dyDescent="0.3">
      <c r="B60" s="9">
        <v>5</v>
      </c>
      <c r="C60" s="14">
        <v>0</v>
      </c>
      <c r="E60" t="s">
        <v>37</v>
      </c>
      <c r="F60">
        <f>IF(B59='Equilibrage de base des sorts'!$B$5,'Equilibrage de base des sorts'!$C$7-B60,0)*'Equilibrage de base des sorts'!$C$8    +    IF(B59='Equilibrage de base des sorts'!$B$10,'Equilibrage de base des sorts'!$C$12-B60,0)*'Equilibrage de base des sorts'!$C$13    +    IF(B59='Equilibrage de base des sorts'!$B$15,'Equilibrage de base des sorts'!$C$17-B60,0)*'Equilibrage de base des sorts'!$C$18    +    IF(B59='Equilibrage de base des sorts'!$B$20,'Equilibrage de base des sorts'!$C$22-B60,0)*'Equilibrage de base des sorts'!$C$23</f>
        <v>-4</v>
      </c>
    </row>
    <row r="61" spans="2:6" x14ac:dyDescent="0.25">
      <c r="B61" s="23" t="s">
        <v>186</v>
      </c>
      <c r="C61" s="24"/>
      <c r="E61" t="s">
        <v>51</v>
      </c>
      <c r="F61">
        <f>-C60*5</f>
        <v>0</v>
      </c>
    </row>
    <row r="62" spans="2:6" x14ac:dyDescent="0.25">
      <c r="B62" s="25"/>
      <c r="C62" s="26"/>
      <c r="E62" s="15" t="s">
        <v>52</v>
      </c>
      <c r="F62" s="15">
        <f>IFERROR('Liste des effets'!$D$5*VALUE(MID(B61,SEARCH('Liste des effets'!$B$5,B61)+LEN('Liste des effets'!$B$5)+1,SEARCH(",",B61,SEARCH('Liste des effets'!$B$5,B61))-(SEARCH('Liste des effets'!$B$5,B61)+LEN('Liste des effets'!$B$5)+1))),0)     +     IFERROR('Liste des effets'!$D$6*VALUE(MID(B61,SEARCH('Liste des effets'!$B$6,B61)+LEN('Liste des effets'!$B$6)+1,SEARCH(",",B61,SEARCH('Liste des effets'!$B$6,B61))-(SEARCH('Liste des effets'!$B$6,B61)+LEN('Liste des effets'!$B$6)+1))),0)     +     IFERROR('Liste des effets'!$D$7*VALUE(MID(B61,SEARCH('Liste des effets'!$B$7,B61)+LEN('Liste des effets'!$B$7)+1,SEARCH(",",B61,SEARCH('Liste des effets'!$B$7,B61))-(SEARCH('Liste des effets'!$B$7,B61)+LEN('Liste des effets'!$B$7)+1))),0)     +     IFERROR('Liste des effets'!$D$8*VALUE(MID(B61,SEARCH('Liste des effets'!$B$8,B61)+LEN('Liste des effets'!$B$8)+1,SEARCH(",",B61,SEARCH('Liste des effets'!$B$8,B61))-(SEARCH('Liste des effets'!$B$8,B61)+LEN('Liste des effets'!$B$8)+1))),0)     +     IFERROR('Liste des effets'!$D$9*VALUE(MID(B61,SEARCH('Liste des effets'!$B$9,B61)+LEN('Liste des effets'!$B$9)+1,SEARCH(",",B61,SEARCH('Liste des effets'!$B$9,B61))-(SEARCH('Liste des effets'!$B$9,B61)+LEN('Liste des effets'!$B$9)+1))),0)     +     IFERROR('Liste des effets'!$D$10*VALUE(MID(B61,SEARCH('Liste des effets'!$B$10,B61)+LEN('Liste des effets'!$B$10)+1,SEARCH(",",B61,SEARCH('Liste des effets'!$B$10,B61))-(SEARCH('Liste des effets'!$B$10,B61)+LEN('Liste des effets'!$B$10)+1))),0)     +     IFERROR('Liste des effets'!$D$11*VALUE(MID(B61,SEARCH('Liste des effets'!$B$11,B61)+LEN('Liste des effets'!$B$11)+1,SEARCH(",",B61,SEARCH('Liste des effets'!$B$11,B61))-(SEARCH('Liste des effets'!$B$11,B61)+LEN('Liste des effets'!$B$11)+1))),0)     +     IFERROR('Liste des effets'!$D$12*VALUE(MID(B61,SEARCH('Liste des effets'!$B$12,B61)+LEN('Liste des effets'!$B$12)+1,SEARCH(",",B61,SEARCH('Liste des effets'!$B$12,B61))-(SEARCH('Liste des effets'!$B$12,B61)+LEN('Liste des effets'!$B$12)+1))),0)     +     IFERROR('Liste des effets'!$D$13*VALUE(MID(B61,SEARCH('Liste des effets'!$B$13,B61)+LEN('Liste des effets'!$B$13)+1,SEARCH(",",B61,SEARCH('Liste des effets'!$B$13,B61))-(SEARCH('Liste des effets'!$B$13,B61)+LEN('Liste des effets'!$B$13)+1))),0)     +     IFERROR('Liste des effets'!$D$14*VALUE(MID(B61,SEARCH('Liste des effets'!$B$14,B61)+LEN('Liste des effets'!$B$14)+1,SEARCH(",",B61,SEARCH('Liste des effets'!$B$14,B61))-(SEARCH('Liste des effets'!$B$14,B61)+LEN('Liste des effets'!$B$14)+1))),0)     +     IFERROR('Liste des effets'!$D$15*VALUE(MID(B61,SEARCH('Liste des effets'!$B$15,B61)+LEN('Liste des effets'!$B$15)+1,SEARCH(",",B61,SEARCH('Liste des effets'!$B$15,B61))-(SEARCH('Liste des effets'!$B$15,B61)+LEN('Liste des effets'!$B$15)+1))),0)     +     'Liste des effets'!$D$16*IF(IFERROR(SEARCH('Liste des effets'!$B$16,B61),0)&gt;0,1,0)     +     'Liste des effets'!$D$17*IF(IFERROR(SEARCH('Liste des effets'!$B$17,B61),0)&gt;0,1,0)     +     'Liste des effets'!$D$18*IF(IFERROR(SEARCH('Liste des effets'!$B$18,B61),0)&gt;0,1,0)     +     'Liste des effets'!$D$19*IF(IFERROR(SEARCH('Liste des effets'!$B$19,B61),0)&gt;0,1,0)      +     IF(IFERROR(SEARCH('Liste des effets'!$B$20,B61),0)&gt;0,1,0)    *     IF(B59='Equilibrage de base des sorts'!$B$5,'Equilibrage de base des sorts'!$C$9,0)      +     IF(IFERROR(SEARCH('Liste des effets'!$B$20,B61),0)&gt;0,1,0)    *     IF(B59='Equilibrage de base des sorts'!$B$10,'Equilibrage de base des sorts'!$C$14,0)      +     IF(IFERROR(SEARCH('Liste des effets'!$B$20,B61),0)&gt;0,1,0)    *     IF(B59='Equilibrage de base des sorts'!$B$15,'Equilibrage de base des sorts'!$C$19,0)      +     IF(IFERROR(SEARCH('Liste des effets'!$B$20,B61),0)&gt;0,1,0)    *     IF(B59='Equilibrage de base des sorts'!$B$20,'Equilibrage de base des sorts'!$C$24,0)</f>
        <v>25</v>
      </c>
    </row>
    <row r="63" spans="2:6" x14ac:dyDescent="0.25">
      <c r="B63" s="25"/>
      <c r="C63" s="26"/>
      <c r="E63" s="2" t="s">
        <v>53</v>
      </c>
      <c r="F63" s="2">
        <f>F60+F61+F62</f>
        <v>21</v>
      </c>
    </row>
    <row r="64" spans="2:6" ht="15.75" thickBot="1" x14ac:dyDescent="0.3">
      <c r="B64" s="27"/>
      <c r="C64" s="28"/>
    </row>
    <row r="65" spans="2:6" ht="15.75" thickBot="1" x14ac:dyDescent="0.3"/>
    <row r="66" spans="2:6" ht="18.75" x14ac:dyDescent="0.25">
      <c r="B66" s="19" t="s">
        <v>136</v>
      </c>
      <c r="C66" s="20"/>
    </row>
    <row r="67" spans="2:6" x14ac:dyDescent="0.25">
      <c r="B67" s="9" t="s">
        <v>49</v>
      </c>
      <c r="C67" s="10" t="s">
        <v>67</v>
      </c>
      <c r="E67" s="21" t="s">
        <v>54</v>
      </c>
      <c r="F67" s="22"/>
    </row>
    <row r="68" spans="2:6" ht="15.75" thickBot="1" x14ac:dyDescent="0.3">
      <c r="B68" s="9">
        <v>1</v>
      </c>
      <c r="C68" s="14">
        <v>2</v>
      </c>
      <c r="E68" t="s">
        <v>37</v>
      </c>
      <c r="F68">
        <f>IF(B67='Equilibrage de base des sorts'!$B$5,'Equilibrage de base des sorts'!$C$7-B68,0)*'Equilibrage de base des sorts'!$C$8    +    IF(B67='Equilibrage de base des sorts'!$B$10,'Equilibrage de base des sorts'!$C$12-B68,0)*'Equilibrage de base des sorts'!$C$13    +    IF(B67='Equilibrage de base des sorts'!$B$15,'Equilibrage de base des sorts'!$C$17-B68,0)*'Equilibrage de base des sorts'!$C$18    +    IF(B67='Equilibrage de base des sorts'!$B$20,'Equilibrage de base des sorts'!$C$22-B68,0)*'Equilibrage de base des sorts'!$C$23</f>
        <v>12</v>
      </c>
    </row>
    <row r="69" spans="2:6" x14ac:dyDescent="0.25">
      <c r="B69" s="23" t="s">
        <v>178</v>
      </c>
      <c r="C69" s="24"/>
      <c r="E69" t="s">
        <v>51</v>
      </c>
      <c r="F69">
        <f>-C68*5</f>
        <v>-10</v>
      </c>
    </row>
    <row r="70" spans="2:6" x14ac:dyDescent="0.25">
      <c r="B70" s="25"/>
      <c r="C70" s="26"/>
      <c r="E70" s="15" t="s">
        <v>52</v>
      </c>
      <c r="F70" s="15">
        <f>IFERROR('Liste des effets'!$D$5*VALUE(MID(B69,SEARCH('Liste des effets'!$B$5,B69)+LEN('Liste des effets'!$B$5)+1,SEARCH(",",B69,SEARCH('Liste des effets'!$B$5,B69))-(SEARCH('Liste des effets'!$B$5,B69)+LEN('Liste des effets'!$B$5)+1))),0)     +     IFERROR('Liste des effets'!$D$6*VALUE(MID(B69,SEARCH('Liste des effets'!$B$6,B69)+LEN('Liste des effets'!$B$6)+1,SEARCH(",",B69,SEARCH('Liste des effets'!$B$6,B69))-(SEARCH('Liste des effets'!$B$6,B69)+LEN('Liste des effets'!$B$6)+1))),0)     +     IFERROR('Liste des effets'!$D$7*VALUE(MID(B69,SEARCH('Liste des effets'!$B$7,B69)+LEN('Liste des effets'!$B$7)+1,SEARCH(",",B69,SEARCH('Liste des effets'!$B$7,B69))-(SEARCH('Liste des effets'!$B$7,B69)+LEN('Liste des effets'!$B$7)+1))),0)     +     IFERROR('Liste des effets'!$D$8*VALUE(MID(B69,SEARCH('Liste des effets'!$B$8,B69)+LEN('Liste des effets'!$B$8)+1,SEARCH(",",B69,SEARCH('Liste des effets'!$B$8,B69))-(SEARCH('Liste des effets'!$B$8,B69)+LEN('Liste des effets'!$B$8)+1))),0)     +     IFERROR('Liste des effets'!$D$9*VALUE(MID(B69,SEARCH('Liste des effets'!$B$9,B69)+LEN('Liste des effets'!$B$9)+1,SEARCH(",",B69,SEARCH('Liste des effets'!$B$9,B69))-(SEARCH('Liste des effets'!$B$9,B69)+LEN('Liste des effets'!$B$9)+1))),0)     +     IFERROR('Liste des effets'!$D$10*VALUE(MID(B69,SEARCH('Liste des effets'!$B$10,B69)+LEN('Liste des effets'!$B$10)+1,SEARCH(",",B69,SEARCH('Liste des effets'!$B$10,B69))-(SEARCH('Liste des effets'!$B$10,B69)+LEN('Liste des effets'!$B$10)+1))),0)     +     IFERROR('Liste des effets'!$D$11*VALUE(MID(B69,SEARCH('Liste des effets'!$B$11,B69)+LEN('Liste des effets'!$B$11)+1,SEARCH(",",B69,SEARCH('Liste des effets'!$B$11,B69))-(SEARCH('Liste des effets'!$B$11,B69)+LEN('Liste des effets'!$B$11)+1))),0)     +     IFERROR('Liste des effets'!$D$12*VALUE(MID(B69,SEARCH('Liste des effets'!$B$12,B69)+LEN('Liste des effets'!$B$12)+1,SEARCH(",",B69,SEARCH('Liste des effets'!$B$12,B69))-(SEARCH('Liste des effets'!$B$12,B69)+LEN('Liste des effets'!$B$12)+1))),0)     +     IFERROR('Liste des effets'!$D$13*VALUE(MID(B69,SEARCH('Liste des effets'!$B$13,B69)+LEN('Liste des effets'!$B$13)+1,SEARCH(",",B69,SEARCH('Liste des effets'!$B$13,B69))-(SEARCH('Liste des effets'!$B$13,B69)+LEN('Liste des effets'!$B$13)+1))),0)     +     IFERROR('Liste des effets'!$D$14*VALUE(MID(B69,SEARCH('Liste des effets'!$B$14,B69)+LEN('Liste des effets'!$B$14)+1,SEARCH(",",B69,SEARCH('Liste des effets'!$B$14,B69))-(SEARCH('Liste des effets'!$B$14,B69)+LEN('Liste des effets'!$B$14)+1))),0)     +     IFERROR('Liste des effets'!$D$15*VALUE(MID(B69,SEARCH('Liste des effets'!$B$15,B69)+LEN('Liste des effets'!$B$15)+1,SEARCH(",",B69,SEARCH('Liste des effets'!$B$15,B69))-(SEARCH('Liste des effets'!$B$15,B69)+LEN('Liste des effets'!$B$15)+1))),0)     +     'Liste des effets'!$D$16*IF(IFERROR(SEARCH('Liste des effets'!$B$16,B69),0)&gt;0,1,0)     +     'Liste des effets'!$D$17*IF(IFERROR(SEARCH('Liste des effets'!$B$17,B69),0)&gt;0,1,0)     +     'Liste des effets'!$D$18*IF(IFERROR(SEARCH('Liste des effets'!$B$18,B69),0)&gt;0,1,0)     +     'Liste des effets'!$D$19*IF(IFERROR(SEARCH('Liste des effets'!$B$19,B69),0)&gt;0,1,0)      +     IF(IFERROR(SEARCH('Liste des effets'!$B$20,B69),0)&gt;0,1,0)    *     IF(B67='Equilibrage de base des sorts'!$B$5,'Equilibrage de base des sorts'!$C$9,0)      +     IF(IFERROR(SEARCH('Liste des effets'!$B$20,B69),0)&gt;0,1,0)    *     IF(B67='Equilibrage de base des sorts'!$B$10,'Equilibrage de base des sorts'!$C$14,0)      +     IF(IFERROR(SEARCH('Liste des effets'!$B$20,B69),0)&gt;0,1,0)    *     IF(B67='Equilibrage de base des sorts'!$B$15,'Equilibrage de base des sorts'!$C$19,0)      +     IF(IFERROR(SEARCH('Liste des effets'!$B$20,B69),0)&gt;0,1,0)    *     IF(B67='Equilibrage de base des sorts'!$B$20,'Equilibrage de base des sorts'!$C$24,0)</f>
        <v>17.5</v>
      </c>
    </row>
    <row r="71" spans="2:6" x14ac:dyDescent="0.25">
      <c r="B71" s="25"/>
      <c r="C71" s="26"/>
      <c r="E71" s="2" t="s">
        <v>53</v>
      </c>
      <c r="F71" s="2">
        <f>F68+F69+F70</f>
        <v>19.5</v>
      </c>
    </row>
    <row r="72" spans="2:6" ht="15.75" thickBot="1" x14ac:dyDescent="0.3">
      <c r="B72" s="27"/>
      <c r="C72" s="28"/>
    </row>
    <row r="73" spans="2:6" ht="15.75" thickBot="1" x14ac:dyDescent="0.3"/>
    <row r="74" spans="2:6" ht="18.75" x14ac:dyDescent="0.25">
      <c r="B74" s="19" t="s">
        <v>183</v>
      </c>
      <c r="C74" s="20"/>
    </row>
    <row r="75" spans="2:6" x14ac:dyDescent="0.25">
      <c r="B75" s="9" t="s">
        <v>50</v>
      </c>
      <c r="C75" s="10" t="s">
        <v>67</v>
      </c>
      <c r="E75" s="21" t="s">
        <v>54</v>
      </c>
      <c r="F75" s="22"/>
    </row>
    <row r="76" spans="2:6" ht="15.75" thickBot="1" x14ac:dyDescent="0.3">
      <c r="B76" s="9">
        <v>3</v>
      </c>
      <c r="C76" s="14">
        <v>2</v>
      </c>
      <c r="E76" t="s">
        <v>37</v>
      </c>
      <c r="F76">
        <f>IF(B75='Equilibrage de base des sorts'!$B$5,'Equilibrage de base des sorts'!$C$7-B76,0)*'Equilibrage de base des sorts'!$C$8    +    IF(B75='Equilibrage de base des sorts'!$B$10,'Equilibrage de base des sorts'!$C$12-B76,0)*'Equilibrage de base des sorts'!$C$13    +    IF(B75='Equilibrage de base des sorts'!$B$15,'Equilibrage de base des sorts'!$C$17-B76,0)*'Equilibrage de base des sorts'!$C$18    +    IF(B75='Equilibrage de base des sorts'!$B$20,'Equilibrage de base des sorts'!$C$22-B76,0)*'Equilibrage de base des sorts'!$C$23</f>
        <v>10</v>
      </c>
    </row>
    <row r="77" spans="2:6" x14ac:dyDescent="0.25">
      <c r="B77" s="23" t="s">
        <v>184</v>
      </c>
      <c r="C77" s="24"/>
      <c r="E77" t="s">
        <v>51</v>
      </c>
      <c r="F77">
        <f>-C76*5</f>
        <v>-10</v>
      </c>
    </row>
    <row r="78" spans="2:6" x14ac:dyDescent="0.25">
      <c r="B78" s="25"/>
      <c r="C78" s="26"/>
      <c r="E78" s="15" t="s">
        <v>52</v>
      </c>
      <c r="F78" s="15">
        <f>IFERROR('Liste des effets'!$D$5*VALUE(MID(B77,SEARCH('Liste des effets'!$B$5,B77)+LEN('Liste des effets'!$B$5)+1,SEARCH(",",B77,SEARCH('Liste des effets'!$B$5,B77))-(SEARCH('Liste des effets'!$B$5,B77)+LEN('Liste des effets'!$B$5)+1))),0)     +     IFERROR('Liste des effets'!$D$6*VALUE(MID(B77,SEARCH('Liste des effets'!$B$6,B77)+LEN('Liste des effets'!$B$6)+1,SEARCH(",",B77,SEARCH('Liste des effets'!$B$6,B77))-(SEARCH('Liste des effets'!$B$6,B77)+LEN('Liste des effets'!$B$6)+1))),0)     +     IFERROR('Liste des effets'!$D$7*VALUE(MID(B77,SEARCH('Liste des effets'!$B$7,B77)+LEN('Liste des effets'!$B$7)+1,SEARCH(",",B77,SEARCH('Liste des effets'!$B$7,B77))-(SEARCH('Liste des effets'!$B$7,B77)+LEN('Liste des effets'!$B$7)+1))),0)     +     IFERROR('Liste des effets'!$D$8*VALUE(MID(B77,SEARCH('Liste des effets'!$B$8,B77)+LEN('Liste des effets'!$B$8)+1,SEARCH(",",B77,SEARCH('Liste des effets'!$B$8,B77))-(SEARCH('Liste des effets'!$B$8,B77)+LEN('Liste des effets'!$B$8)+1))),0)     +     IFERROR('Liste des effets'!$D$9*VALUE(MID(B77,SEARCH('Liste des effets'!$B$9,B77)+LEN('Liste des effets'!$B$9)+1,SEARCH(",",B77,SEARCH('Liste des effets'!$B$9,B77))-(SEARCH('Liste des effets'!$B$9,B77)+LEN('Liste des effets'!$B$9)+1))),0)     +     IFERROR('Liste des effets'!$D$10*VALUE(MID(B77,SEARCH('Liste des effets'!$B$10,B77)+LEN('Liste des effets'!$B$10)+1,SEARCH(",",B77,SEARCH('Liste des effets'!$B$10,B77))-(SEARCH('Liste des effets'!$B$10,B77)+LEN('Liste des effets'!$B$10)+1))),0)     +     IFERROR('Liste des effets'!$D$11*VALUE(MID(B77,SEARCH('Liste des effets'!$B$11,B77)+LEN('Liste des effets'!$B$11)+1,SEARCH(",",B77,SEARCH('Liste des effets'!$B$11,B77))-(SEARCH('Liste des effets'!$B$11,B77)+LEN('Liste des effets'!$B$11)+1))),0)     +     IFERROR('Liste des effets'!$D$12*VALUE(MID(B77,SEARCH('Liste des effets'!$B$12,B77)+LEN('Liste des effets'!$B$12)+1,SEARCH(",",B77,SEARCH('Liste des effets'!$B$12,B77))-(SEARCH('Liste des effets'!$B$12,B77)+LEN('Liste des effets'!$B$12)+1))),0)     +     IFERROR('Liste des effets'!$D$13*VALUE(MID(B77,SEARCH('Liste des effets'!$B$13,B77)+LEN('Liste des effets'!$B$13)+1,SEARCH(",",B77,SEARCH('Liste des effets'!$B$13,B77))-(SEARCH('Liste des effets'!$B$13,B77)+LEN('Liste des effets'!$B$13)+1))),0)     +     IFERROR('Liste des effets'!$D$14*VALUE(MID(B77,SEARCH('Liste des effets'!$B$14,B77)+LEN('Liste des effets'!$B$14)+1,SEARCH(",",B77,SEARCH('Liste des effets'!$B$14,B77))-(SEARCH('Liste des effets'!$B$14,B77)+LEN('Liste des effets'!$B$14)+1))),0)     +     IFERROR('Liste des effets'!$D$15*VALUE(MID(B77,SEARCH('Liste des effets'!$B$15,B77)+LEN('Liste des effets'!$B$15)+1,SEARCH(",",B77,SEARCH('Liste des effets'!$B$15,B77))-(SEARCH('Liste des effets'!$B$15,B77)+LEN('Liste des effets'!$B$15)+1))),0)     +     'Liste des effets'!$D$16*IF(IFERROR(SEARCH('Liste des effets'!$B$16,B77),0)&gt;0,1,0)     +     'Liste des effets'!$D$17*IF(IFERROR(SEARCH('Liste des effets'!$B$17,B77),0)&gt;0,1,0)     +     'Liste des effets'!$D$18*IF(IFERROR(SEARCH('Liste des effets'!$B$18,B77),0)&gt;0,1,0)     +     'Liste des effets'!$D$19*IF(IFERROR(SEARCH('Liste des effets'!$B$19,B77),0)&gt;0,1,0)      +     IF(IFERROR(SEARCH('Liste des effets'!$B$20,B77),0)&gt;0,1,0)    *     IF(B75='Equilibrage de base des sorts'!$B$5,'Equilibrage de base des sorts'!$C$9,0)      +     IF(IFERROR(SEARCH('Liste des effets'!$B$20,B77),0)&gt;0,1,0)    *     IF(B75='Equilibrage de base des sorts'!$B$10,'Equilibrage de base des sorts'!$C$14,0)      +     IF(IFERROR(SEARCH('Liste des effets'!$B$20,B77),0)&gt;0,1,0)    *     IF(B75='Equilibrage de base des sorts'!$B$15,'Equilibrage de base des sorts'!$C$19,0)      +     IF(IFERROR(SEARCH('Liste des effets'!$B$20,B77),0)&gt;0,1,0)    *     IF(B75='Equilibrage de base des sorts'!$B$20,'Equilibrage de base des sorts'!$C$24,0)</f>
        <v>20</v>
      </c>
    </row>
    <row r="79" spans="2:6" x14ac:dyDescent="0.25">
      <c r="B79" s="25"/>
      <c r="C79" s="26"/>
      <c r="E79" s="2" t="s">
        <v>53</v>
      </c>
      <c r="F79" s="2">
        <f>F76+F77+F78</f>
        <v>20</v>
      </c>
    </row>
    <row r="80" spans="2:6" ht="15.75" thickBot="1" x14ac:dyDescent="0.3">
      <c r="B80" s="27"/>
      <c r="C80" s="28"/>
    </row>
    <row r="82" spans="2:6" ht="18" thickBot="1" x14ac:dyDescent="0.35">
      <c r="B82" s="48" t="s">
        <v>180</v>
      </c>
      <c r="C82" s="48"/>
    </row>
    <row r="83" spans="2:6" ht="16.5" thickTop="1" thickBot="1" x14ac:dyDescent="0.3"/>
    <row r="84" spans="2:6" ht="18.75" x14ac:dyDescent="0.25">
      <c r="B84" s="19" t="s">
        <v>189</v>
      </c>
      <c r="C84" s="20"/>
    </row>
    <row r="85" spans="2:6" x14ac:dyDescent="0.25">
      <c r="B85" s="9" t="s">
        <v>44</v>
      </c>
      <c r="C85" s="10" t="s">
        <v>67</v>
      </c>
      <c r="E85" s="21" t="s">
        <v>54</v>
      </c>
      <c r="F85" s="22"/>
    </row>
    <row r="86" spans="2:6" ht="15.75" thickBot="1" x14ac:dyDescent="0.3">
      <c r="B86" s="9">
        <v>4</v>
      </c>
      <c r="C86" s="14">
        <v>0</v>
      </c>
      <c r="E86" t="s">
        <v>37</v>
      </c>
      <c r="F86">
        <f>IF(B85='Equilibrage de base des sorts'!$B$5,'Equilibrage de base des sorts'!$C$7-B86,0)*'Equilibrage de base des sorts'!$C$8    +    IF(B85='Equilibrage de base des sorts'!$B$10,'Equilibrage de base des sorts'!$C$12-B86,0)*'Equilibrage de base des sorts'!$C$13    +    IF(B85='Equilibrage de base des sorts'!$B$15,'Equilibrage de base des sorts'!$C$17-B86,0)*'Equilibrage de base des sorts'!$C$18    +    IF(B85='Equilibrage de base des sorts'!$B$20,'Equilibrage de base des sorts'!$C$22-B86,0)*'Equilibrage de base des sorts'!$C$23</f>
        <v>0</v>
      </c>
    </row>
    <row r="87" spans="2:6" x14ac:dyDescent="0.25">
      <c r="B87" s="23" t="s">
        <v>190</v>
      </c>
      <c r="C87" s="24"/>
      <c r="E87" t="s">
        <v>51</v>
      </c>
      <c r="F87">
        <f>-C86*5</f>
        <v>0</v>
      </c>
    </row>
    <row r="88" spans="2:6" x14ac:dyDescent="0.25">
      <c r="B88" s="25"/>
      <c r="C88" s="26"/>
      <c r="E88" s="15" t="s">
        <v>52</v>
      </c>
      <c r="F88" s="15">
        <f>IFERROR('Liste des effets'!$D$5*VALUE(MID(B87,SEARCH('Liste des effets'!$B$5,B87)+LEN('Liste des effets'!$B$5)+1,SEARCH(",",B87,SEARCH('Liste des effets'!$B$5,B87))-(SEARCH('Liste des effets'!$B$5,B87)+LEN('Liste des effets'!$B$5)+1))),0)     +     IFERROR('Liste des effets'!$D$6*VALUE(MID(B87,SEARCH('Liste des effets'!$B$6,B87)+LEN('Liste des effets'!$B$6)+1,SEARCH(",",B87,SEARCH('Liste des effets'!$B$6,B87))-(SEARCH('Liste des effets'!$B$6,B87)+LEN('Liste des effets'!$B$6)+1))),0)     +     IFERROR('Liste des effets'!$D$7*VALUE(MID(B87,SEARCH('Liste des effets'!$B$7,B87)+LEN('Liste des effets'!$B$7)+1,SEARCH(",",B87,SEARCH('Liste des effets'!$B$7,B87))-(SEARCH('Liste des effets'!$B$7,B87)+LEN('Liste des effets'!$B$7)+1))),0)     +     IFERROR('Liste des effets'!$D$8*VALUE(MID(B87,SEARCH('Liste des effets'!$B$8,B87)+LEN('Liste des effets'!$B$8)+1,SEARCH(",",B87,SEARCH('Liste des effets'!$B$8,B87))-(SEARCH('Liste des effets'!$B$8,B87)+LEN('Liste des effets'!$B$8)+1))),0)     +     IFERROR('Liste des effets'!$D$9*VALUE(MID(B87,SEARCH('Liste des effets'!$B$9,B87)+LEN('Liste des effets'!$B$9)+1,SEARCH(",",B87,SEARCH('Liste des effets'!$B$9,B87))-(SEARCH('Liste des effets'!$B$9,B87)+LEN('Liste des effets'!$B$9)+1))),0)     +     IFERROR('Liste des effets'!$D$10*VALUE(MID(B87,SEARCH('Liste des effets'!$B$10,B87)+LEN('Liste des effets'!$B$10)+1,SEARCH(",",B87,SEARCH('Liste des effets'!$B$10,B87))-(SEARCH('Liste des effets'!$B$10,B87)+LEN('Liste des effets'!$B$10)+1))),0)     +     IFERROR('Liste des effets'!$D$11*VALUE(MID(B87,SEARCH('Liste des effets'!$B$11,B87)+LEN('Liste des effets'!$B$11)+1,SEARCH(",",B87,SEARCH('Liste des effets'!$B$11,B87))-(SEARCH('Liste des effets'!$B$11,B87)+LEN('Liste des effets'!$B$11)+1))),0)     +     IFERROR('Liste des effets'!$D$12*VALUE(MID(B87,SEARCH('Liste des effets'!$B$12,B87)+LEN('Liste des effets'!$B$12)+1,SEARCH(",",B87,SEARCH('Liste des effets'!$B$12,B87))-(SEARCH('Liste des effets'!$B$12,B87)+LEN('Liste des effets'!$B$12)+1))),0)     +     IFERROR('Liste des effets'!$D$13*VALUE(MID(B87,SEARCH('Liste des effets'!$B$13,B87)+LEN('Liste des effets'!$B$13)+1,SEARCH(",",B87,SEARCH('Liste des effets'!$B$13,B87))-(SEARCH('Liste des effets'!$B$13,B87)+LEN('Liste des effets'!$B$13)+1))),0)     +     IFERROR('Liste des effets'!$D$14*VALUE(MID(B87,SEARCH('Liste des effets'!$B$14,B87)+LEN('Liste des effets'!$B$14)+1,SEARCH(",",B87,SEARCH('Liste des effets'!$B$14,B87))-(SEARCH('Liste des effets'!$B$14,B87)+LEN('Liste des effets'!$B$14)+1))),0)     +     IFERROR('Liste des effets'!$D$15*VALUE(MID(B87,SEARCH('Liste des effets'!$B$15,B87)+LEN('Liste des effets'!$B$15)+1,SEARCH(",",B87,SEARCH('Liste des effets'!$B$15,B87))-(SEARCH('Liste des effets'!$B$15,B87)+LEN('Liste des effets'!$B$15)+1))),0)     +     'Liste des effets'!$D$16*IF(IFERROR(SEARCH('Liste des effets'!$B$16,B87),0)&gt;0,1,0)     +     'Liste des effets'!$D$17*IF(IFERROR(SEARCH('Liste des effets'!$B$17,B87),0)&gt;0,1,0)     +     'Liste des effets'!$D$18*IF(IFERROR(SEARCH('Liste des effets'!$B$18,B87),0)&gt;0,1,0)     +     'Liste des effets'!$D$19*IF(IFERROR(SEARCH('Liste des effets'!$B$19,B87),0)&gt;0,1,0)      +     IF(IFERROR(SEARCH('Liste des effets'!$B$20,B87),0)&gt;0,1,0)    *     IF(B85='Equilibrage de base des sorts'!$B$5,'Equilibrage de base des sorts'!$C$9,0)      +     IF(IFERROR(SEARCH('Liste des effets'!$B$20,B87),0)&gt;0,1,0)    *     IF(B85='Equilibrage de base des sorts'!$B$10,'Equilibrage de base des sorts'!$C$14,0)      +     IF(IFERROR(SEARCH('Liste des effets'!$B$20,B87),0)&gt;0,1,0)    *     IF(B85='Equilibrage de base des sorts'!$B$15,'Equilibrage de base des sorts'!$C$19,0)      +     IF(IFERROR(SEARCH('Liste des effets'!$B$20,B87),0)&gt;0,1,0)    *     IF(B85='Equilibrage de base des sorts'!$B$20,'Equilibrage de base des sorts'!$C$24,0)</f>
        <v>30</v>
      </c>
    </row>
    <row r="89" spans="2:6" x14ac:dyDescent="0.25">
      <c r="B89" s="25"/>
      <c r="C89" s="26"/>
      <c r="E89" s="2" t="s">
        <v>53</v>
      </c>
      <c r="F89" s="2">
        <f>F86+F87+F88</f>
        <v>30</v>
      </c>
    </row>
    <row r="90" spans="2:6" ht="15.75" thickBot="1" x14ac:dyDescent="0.3">
      <c r="B90" s="27"/>
      <c r="C90" s="28"/>
    </row>
    <row r="91" spans="2:6" ht="15.75" thickBot="1" x14ac:dyDescent="0.3"/>
    <row r="92" spans="2:6" ht="15" customHeight="1" x14ac:dyDescent="0.25">
      <c r="B92" s="19" t="s">
        <v>181</v>
      </c>
      <c r="C92" s="20"/>
    </row>
    <row r="93" spans="2:6" x14ac:dyDescent="0.25">
      <c r="B93" s="9" t="s">
        <v>48</v>
      </c>
      <c r="C93" s="10" t="s">
        <v>67</v>
      </c>
      <c r="E93" s="21" t="s">
        <v>54</v>
      </c>
      <c r="F93" s="22"/>
    </row>
    <row r="94" spans="2:6" ht="15.75" thickBot="1" x14ac:dyDescent="0.3">
      <c r="B94" s="9">
        <v>5</v>
      </c>
      <c r="C94" s="14">
        <v>5</v>
      </c>
      <c r="E94" t="s">
        <v>37</v>
      </c>
      <c r="F94">
        <f>IF(B93='Equilibrage de base des sorts'!$B$5,'Equilibrage de base des sorts'!$C$7-B94,0)*'Equilibrage de base des sorts'!$C$8    +    IF(B93='Equilibrage de base des sorts'!$B$10,'Equilibrage de base des sorts'!$C$12-B94,0)*'Equilibrage de base des sorts'!$C$13    +    IF(B93='Equilibrage de base des sorts'!$B$15,'Equilibrage de base des sorts'!$C$17-B94,0)*'Equilibrage de base des sorts'!$C$18    +    IF(B93='Equilibrage de base des sorts'!$B$20,'Equilibrage de base des sorts'!$C$22-B94,0)*'Equilibrage de base des sorts'!$C$23</f>
        <v>-4</v>
      </c>
    </row>
    <row r="95" spans="2:6" x14ac:dyDescent="0.25">
      <c r="B95" s="23" t="s">
        <v>182</v>
      </c>
      <c r="C95" s="24"/>
      <c r="E95" t="s">
        <v>51</v>
      </c>
      <c r="F95">
        <f>-C94*5</f>
        <v>-25</v>
      </c>
    </row>
    <row r="96" spans="2:6" x14ac:dyDescent="0.25">
      <c r="B96" s="25"/>
      <c r="C96" s="26"/>
      <c r="E96" s="15" t="s">
        <v>52</v>
      </c>
      <c r="F96" s="15">
        <f>IFERROR('Liste des effets'!$D$5*VALUE(MID(B95,SEARCH('Liste des effets'!$B$5,B95)+LEN('Liste des effets'!$B$5)+1,SEARCH(",",B95,SEARCH('Liste des effets'!$B$5,B95))-(SEARCH('Liste des effets'!$B$5,B95)+LEN('Liste des effets'!$B$5)+1))),0)     +     IFERROR('Liste des effets'!$D$6*VALUE(MID(B95,SEARCH('Liste des effets'!$B$6,B95)+LEN('Liste des effets'!$B$6)+1,SEARCH(",",B95,SEARCH('Liste des effets'!$B$6,B95))-(SEARCH('Liste des effets'!$B$6,B95)+LEN('Liste des effets'!$B$6)+1))),0)     +     IFERROR('Liste des effets'!$D$7*VALUE(MID(B95,SEARCH('Liste des effets'!$B$7,B95)+LEN('Liste des effets'!$B$7)+1,SEARCH(",",B95,SEARCH('Liste des effets'!$B$7,B95))-(SEARCH('Liste des effets'!$B$7,B95)+LEN('Liste des effets'!$B$7)+1))),0)     +     IFERROR('Liste des effets'!$D$8*VALUE(MID(B95,SEARCH('Liste des effets'!$B$8,B95)+LEN('Liste des effets'!$B$8)+1,SEARCH(",",B95,SEARCH('Liste des effets'!$B$8,B95))-(SEARCH('Liste des effets'!$B$8,B95)+LEN('Liste des effets'!$B$8)+1))),0)     +     IFERROR('Liste des effets'!$D$9*VALUE(MID(B95,SEARCH('Liste des effets'!$B$9,B95)+LEN('Liste des effets'!$B$9)+1,SEARCH(",",B95,SEARCH('Liste des effets'!$B$9,B95))-(SEARCH('Liste des effets'!$B$9,B95)+LEN('Liste des effets'!$B$9)+1))),0)     +     IFERROR('Liste des effets'!$D$10*VALUE(MID(B95,SEARCH('Liste des effets'!$B$10,B95)+LEN('Liste des effets'!$B$10)+1,SEARCH(",",B95,SEARCH('Liste des effets'!$B$10,B95))-(SEARCH('Liste des effets'!$B$10,B95)+LEN('Liste des effets'!$B$10)+1))),0)     +     IFERROR('Liste des effets'!$D$11*VALUE(MID(B95,SEARCH('Liste des effets'!$B$11,B95)+LEN('Liste des effets'!$B$11)+1,SEARCH(",",B95,SEARCH('Liste des effets'!$B$11,B95))-(SEARCH('Liste des effets'!$B$11,B95)+LEN('Liste des effets'!$B$11)+1))),0)     +     IFERROR('Liste des effets'!$D$12*VALUE(MID(B95,SEARCH('Liste des effets'!$B$12,B95)+LEN('Liste des effets'!$B$12)+1,SEARCH(",",B95,SEARCH('Liste des effets'!$B$12,B95))-(SEARCH('Liste des effets'!$B$12,B95)+LEN('Liste des effets'!$B$12)+1))),0)     +     IFERROR('Liste des effets'!$D$13*VALUE(MID(B95,SEARCH('Liste des effets'!$B$13,B95)+LEN('Liste des effets'!$B$13)+1,SEARCH(",",B95,SEARCH('Liste des effets'!$B$13,B95))-(SEARCH('Liste des effets'!$B$13,B95)+LEN('Liste des effets'!$B$13)+1))),0)     +     IFERROR('Liste des effets'!$D$14*VALUE(MID(B95,SEARCH('Liste des effets'!$B$14,B95)+LEN('Liste des effets'!$B$14)+1,SEARCH(",",B95,SEARCH('Liste des effets'!$B$14,B95))-(SEARCH('Liste des effets'!$B$14,B95)+LEN('Liste des effets'!$B$14)+1))),0)     +     IFERROR('Liste des effets'!$D$15*VALUE(MID(B95,SEARCH('Liste des effets'!$B$15,B95)+LEN('Liste des effets'!$B$15)+1,SEARCH(",",B95,SEARCH('Liste des effets'!$B$15,B95))-(SEARCH('Liste des effets'!$B$15,B95)+LEN('Liste des effets'!$B$15)+1))),0)     +     'Liste des effets'!$D$16*IF(IFERROR(SEARCH('Liste des effets'!$B$16,B95),0)&gt;0,1,0)     +     'Liste des effets'!$D$17*IF(IFERROR(SEARCH('Liste des effets'!$B$17,B95),0)&gt;0,1,0)     +     'Liste des effets'!$D$18*IF(IFERROR(SEARCH('Liste des effets'!$B$18,B95),0)&gt;0,1,0)     +     'Liste des effets'!$D$19*IF(IFERROR(SEARCH('Liste des effets'!$B$19,B95),0)&gt;0,1,0)      +     IF(IFERROR(SEARCH('Liste des effets'!$B$20,B95),0)&gt;0,1,0)    *     IF(B93='Equilibrage de base des sorts'!$B$5,'Equilibrage de base des sorts'!$C$9,0)      +     IF(IFERROR(SEARCH('Liste des effets'!$B$20,B95),0)&gt;0,1,0)    *     IF(B93='Equilibrage de base des sorts'!$B$10,'Equilibrage de base des sorts'!$C$14,0)      +     IF(IFERROR(SEARCH('Liste des effets'!$B$20,B95),0)&gt;0,1,0)    *     IF(B93='Equilibrage de base des sorts'!$B$15,'Equilibrage de base des sorts'!$C$19,0)      +     IF(IFERROR(SEARCH('Liste des effets'!$B$20,B95),0)&gt;0,1,0)    *     IF(B93='Equilibrage de base des sorts'!$B$20,'Equilibrage de base des sorts'!$C$24,0)</f>
        <v>60</v>
      </c>
    </row>
    <row r="97" spans="2:15" x14ac:dyDescent="0.25">
      <c r="B97" s="25"/>
      <c r="C97" s="26"/>
      <c r="E97" s="2" t="s">
        <v>53</v>
      </c>
      <c r="F97" s="2">
        <f>F94+F95+F96</f>
        <v>31</v>
      </c>
    </row>
    <row r="98" spans="2:15" ht="15.75" thickBot="1" x14ac:dyDescent="0.3">
      <c r="B98" s="27"/>
      <c r="C98" s="28"/>
    </row>
    <row r="99" spans="2:15" ht="15.75" thickBot="1" x14ac:dyDescent="0.3"/>
    <row r="100" spans="2:15" ht="15" customHeight="1" x14ac:dyDescent="0.25">
      <c r="B100" s="19" t="s">
        <v>187</v>
      </c>
      <c r="C100" s="20"/>
    </row>
    <row r="101" spans="2:15" x14ac:dyDescent="0.25">
      <c r="B101" s="9" t="s">
        <v>50</v>
      </c>
      <c r="C101" s="10" t="s">
        <v>67</v>
      </c>
      <c r="E101" s="21" t="s">
        <v>54</v>
      </c>
      <c r="F101" s="22"/>
    </row>
    <row r="102" spans="2:15" ht="15.75" thickBot="1" x14ac:dyDescent="0.3">
      <c r="B102" s="9">
        <v>4</v>
      </c>
      <c r="C102" s="14">
        <v>0</v>
      </c>
      <c r="E102" t="s">
        <v>37</v>
      </c>
      <c r="F102">
        <f>IF(B101='Equilibrage de base des sorts'!$B$5,'Equilibrage de base des sorts'!$C$7-B102,0)*'Equilibrage de base des sorts'!$C$8    +    IF(B101='Equilibrage de base des sorts'!$B$10,'Equilibrage de base des sorts'!$C$12-B102,0)*'Equilibrage de base des sorts'!$C$13    +    IF(B101='Equilibrage de base des sorts'!$B$15,'Equilibrage de base des sorts'!$C$17-B102,0)*'Equilibrage de base des sorts'!$C$18    +    IF(B101='Equilibrage de base des sorts'!$B$20,'Equilibrage de base des sorts'!$C$22-B102,0)*'Equilibrage de base des sorts'!$C$23</f>
        <v>5</v>
      </c>
    </row>
    <row r="103" spans="2:15" x14ac:dyDescent="0.25">
      <c r="B103" s="23" t="s">
        <v>188</v>
      </c>
      <c r="C103" s="24"/>
      <c r="E103" t="s">
        <v>51</v>
      </c>
      <c r="F103">
        <f>-C102*5</f>
        <v>0</v>
      </c>
    </row>
    <row r="104" spans="2:15" x14ac:dyDescent="0.25">
      <c r="B104" s="25"/>
      <c r="C104" s="26"/>
      <c r="E104" s="15" t="s">
        <v>52</v>
      </c>
      <c r="F104" s="15">
        <f>IFERROR('Liste des effets'!$D$5*VALUE(MID(B103,SEARCH('Liste des effets'!$B$5,B103)+LEN('Liste des effets'!$B$5)+1,SEARCH(",",B103,SEARCH('Liste des effets'!$B$5,B103))-(SEARCH('Liste des effets'!$B$5,B103)+LEN('Liste des effets'!$B$5)+1))),0)     +     IFERROR('Liste des effets'!$D$6*VALUE(MID(B103,SEARCH('Liste des effets'!$B$6,B103)+LEN('Liste des effets'!$B$6)+1,SEARCH(",",B103,SEARCH('Liste des effets'!$B$6,B103))-(SEARCH('Liste des effets'!$B$6,B103)+LEN('Liste des effets'!$B$6)+1))),0)     +     IFERROR('Liste des effets'!$D$7*VALUE(MID(B103,SEARCH('Liste des effets'!$B$7,B103)+LEN('Liste des effets'!$B$7)+1,SEARCH(",",B103,SEARCH('Liste des effets'!$B$7,B103))-(SEARCH('Liste des effets'!$B$7,B103)+LEN('Liste des effets'!$B$7)+1))),0)     +     IFERROR('Liste des effets'!$D$8*VALUE(MID(B103,SEARCH('Liste des effets'!$B$8,B103)+LEN('Liste des effets'!$B$8)+1,SEARCH(",",B103,SEARCH('Liste des effets'!$B$8,B103))-(SEARCH('Liste des effets'!$B$8,B103)+LEN('Liste des effets'!$B$8)+1))),0)     +     IFERROR('Liste des effets'!$D$9*VALUE(MID(B103,SEARCH('Liste des effets'!$B$9,B103)+LEN('Liste des effets'!$B$9)+1,SEARCH(",",B103,SEARCH('Liste des effets'!$B$9,B103))-(SEARCH('Liste des effets'!$B$9,B103)+LEN('Liste des effets'!$B$9)+1))),0)     +     IFERROR('Liste des effets'!$D$10*VALUE(MID(B103,SEARCH('Liste des effets'!$B$10,B103)+LEN('Liste des effets'!$B$10)+1,SEARCH(",",B103,SEARCH('Liste des effets'!$B$10,B103))-(SEARCH('Liste des effets'!$B$10,B103)+LEN('Liste des effets'!$B$10)+1))),0)     +     IFERROR('Liste des effets'!$D$11*VALUE(MID(B103,SEARCH('Liste des effets'!$B$11,B103)+LEN('Liste des effets'!$B$11)+1,SEARCH(",",B103,SEARCH('Liste des effets'!$B$11,B103))-(SEARCH('Liste des effets'!$B$11,B103)+LEN('Liste des effets'!$B$11)+1))),0)     +     IFERROR('Liste des effets'!$D$12*VALUE(MID(B103,SEARCH('Liste des effets'!$B$12,B103)+LEN('Liste des effets'!$B$12)+1,SEARCH(",",B103,SEARCH('Liste des effets'!$B$12,B103))-(SEARCH('Liste des effets'!$B$12,B103)+LEN('Liste des effets'!$B$12)+1))),0)     +     IFERROR('Liste des effets'!$D$13*VALUE(MID(B103,SEARCH('Liste des effets'!$B$13,B103)+LEN('Liste des effets'!$B$13)+1,SEARCH(",",B103,SEARCH('Liste des effets'!$B$13,B103))-(SEARCH('Liste des effets'!$B$13,B103)+LEN('Liste des effets'!$B$13)+1))),0)     +     IFERROR('Liste des effets'!$D$14*VALUE(MID(B103,SEARCH('Liste des effets'!$B$14,B103)+LEN('Liste des effets'!$B$14)+1,SEARCH(",",B103,SEARCH('Liste des effets'!$B$14,B103))-(SEARCH('Liste des effets'!$B$14,B103)+LEN('Liste des effets'!$B$14)+1))),0)     +     IFERROR('Liste des effets'!$D$15*VALUE(MID(B103,SEARCH('Liste des effets'!$B$15,B103)+LEN('Liste des effets'!$B$15)+1,SEARCH(",",B103,SEARCH('Liste des effets'!$B$15,B103))-(SEARCH('Liste des effets'!$B$15,B103)+LEN('Liste des effets'!$B$15)+1))),0)     +     'Liste des effets'!$D$16*IF(IFERROR(SEARCH('Liste des effets'!$B$16,B103),0)&gt;0,1,0)     +     'Liste des effets'!$D$17*IF(IFERROR(SEARCH('Liste des effets'!$B$17,B103),0)&gt;0,1,0)     +     'Liste des effets'!$D$18*IF(IFERROR(SEARCH('Liste des effets'!$B$18,B103),0)&gt;0,1,0)     +     'Liste des effets'!$D$19*IF(IFERROR(SEARCH('Liste des effets'!$B$19,B103),0)&gt;0,1,0)      +     IF(IFERROR(SEARCH('Liste des effets'!$B$20,B103),0)&gt;0,1,0)    *     IF(B101='Equilibrage de base des sorts'!$B$5,'Equilibrage de base des sorts'!$C$9,0)      +     IF(IFERROR(SEARCH('Liste des effets'!$B$20,B103),0)&gt;0,1,0)    *     IF(B101='Equilibrage de base des sorts'!$B$10,'Equilibrage de base des sorts'!$C$14,0)      +     IF(IFERROR(SEARCH('Liste des effets'!$B$20,B103),0)&gt;0,1,0)    *     IF(B101='Equilibrage de base des sorts'!$B$15,'Equilibrage de base des sorts'!$C$19,0)      +     IF(IFERROR(SEARCH('Liste des effets'!$B$20,B103),0)&gt;0,1,0)    *     IF(B101='Equilibrage de base des sorts'!$B$20,'Equilibrage de base des sorts'!$C$24,0)</f>
        <v>25</v>
      </c>
    </row>
    <row r="105" spans="2:15" x14ac:dyDescent="0.25">
      <c r="B105" s="25"/>
      <c r="C105" s="26"/>
      <c r="E105" s="2" t="s">
        <v>53</v>
      </c>
      <c r="F105" s="2">
        <f>F102+F103+F104</f>
        <v>30</v>
      </c>
    </row>
    <row r="106" spans="2:15" ht="15.75" thickBot="1" x14ac:dyDescent="0.3">
      <c r="B106" s="27"/>
      <c r="C106" s="28"/>
    </row>
    <row r="109" spans="2:15" ht="20.25" thickBot="1" x14ac:dyDescent="0.35">
      <c r="B109" s="29" t="s">
        <v>124</v>
      </c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</row>
    <row r="110" spans="2:15" ht="15.75" thickTop="1" x14ac:dyDescent="0.25"/>
    <row r="111" spans="2:15" ht="18" thickBot="1" x14ac:dyDescent="0.35">
      <c r="B111" s="48" t="s">
        <v>174</v>
      </c>
      <c r="C111" s="48"/>
    </row>
    <row r="112" spans="2:15" ht="16.5" thickTop="1" thickBot="1" x14ac:dyDescent="0.3"/>
    <row r="113" spans="2:12" ht="18.75" x14ac:dyDescent="0.25">
      <c r="B113" s="19" t="s">
        <v>164</v>
      </c>
      <c r="C113" s="20"/>
      <c r="H113" s="19" t="s">
        <v>150</v>
      </c>
      <c r="I113" s="20"/>
    </row>
    <row r="114" spans="2:12" x14ac:dyDescent="0.25">
      <c r="B114" s="9" t="s">
        <v>44</v>
      </c>
      <c r="C114" s="10" t="s">
        <v>125</v>
      </c>
      <c r="E114" s="21" t="s">
        <v>54</v>
      </c>
      <c r="F114" s="22"/>
      <c r="H114" s="9" t="s">
        <v>44</v>
      </c>
      <c r="I114" s="10" t="s">
        <v>125</v>
      </c>
      <c r="K114" s="21" t="s">
        <v>54</v>
      </c>
      <c r="L114" s="22"/>
    </row>
    <row r="115" spans="2:12" ht="15.75" thickBot="1" x14ac:dyDescent="0.3">
      <c r="B115" s="9">
        <v>2</v>
      </c>
      <c r="C115" s="14">
        <v>2</v>
      </c>
      <c r="E115" t="s">
        <v>37</v>
      </c>
      <c r="F115">
        <f>IF(B114='Equilibrage de base des sorts'!$B$5,'Equilibrage de base des sorts'!$C$7-B115,0)*'Equilibrage de base des sorts'!$C$8    +    IF(B114='Equilibrage de base des sorts'!$B$10,'Equilibrage de base des sorts'!$C$12-B115,0)*'Equilibrage de base des sorts'!$C$13    +    IF(B114='Equilibrage de base des sorts'!$B$15,'Equilibrage de base des sorts'!$C$17-B115,0)*'Equilibrage de base des sorts'!$C$18    +    IF(B114='Equilibrage de base des sorts'!$B$20,'Equilibrage de base des sorts'!$C$22-B115,0)*'Equilibrage de base des sorts'!$C$23</f>
        <v>8</v>
      </c>
      <c r="H115" s="9">
        <v>3</v>
      </c>
      <c r="I115" s="14">
        <v>5</v>
      </c>
      <c r="K115" t="s">
        <v>37</v>
      </c>
      <c r="L115">
        <f>IF(H114='Equilibrage de base des sorts'!$B$5,'Equilibrage de base des sorts'!$C$7-H115,0)*'Equilibrage de base des sorts'!$C$8    +    IF(H114='Equilibrage de base des sorts'!$B$10,'Equilibrage de base des sorts'!$C$12-H115,0)*'Equilibrage de base des sorts'!$C$13    +    IF(H114='Equilibrage de base des sorts'!$B$15,'Equilibrage de base des sorts'!$C$17-H115,0)*'Equilibrage de base des sorts'!$C$18    +    IF(H114='Equilibrage de base des sorts'!$B$20,'Equilibrage de base des sorts'!$C$22-H115,0)*'Equilibrage de base des sorts'!$C$23</f>
        <v>4</v>
      </c>
    </row>
    <row r="116" spans="2:12" x14ac:dyDescent="0.25">
      <c r="B116" s="23" t="s">
        <v>217</v>
      </c>
      <c r="C116" s="24"/>
      <c r="E116" t="s">
        <v>51</v>
      </c>
      <c r="F116">
        <f>-C115*5</f>
        <v>-10</v>
      </c>
      <c r="H116" s="23" t="s">
        <v>149</v>
      </c>
      <c r="I116" s="24"/>
      <c r="K116" t="s">
        <v>51</v>
      </c>
      <c r="L116">
        <f>-I115*5</f>
        <v>-25</v>
      </c>
    </row>
    <row r="117" spans="2:12" x14ac:dyDescent="0.25">
      <c r="B117" s="25"/>
      <c r="C117" s="26"/>
      <c r="E117" s="15" t="s">
        <v>52</v>
      </c>
      <c r="F117" s="15">
        <f>IFERROR('Liste des effets'!$D$5*VALUE(MID(B116,SEARCH('Liste des effets'!$B$5,B116)+LEN('Liste des effets'!$B$5)+1,SEARCH(",",B116,SEARCH('Liste des effets'!$B$5,B116))-(SEARCH('Liste des effets'!$B$5,B116)+LEN('Liste des effets'!$B$5)+1))),0)     +     IFERROR('Liste des effets'!$D$6*VALUE(MID(B116,SEARCH('Liste des effets'!$B$6,B116)+LEN('Liste des effets'!$B$6)+1,SEARCH(",",B116,SEARCH('Liste des effets'!$B$6,B116))-(SEARCH('Liste des effets'!$B$6,B116)+LEN('Liste des effets'!$B$6)+1))),0)     +     IFERROR('Liste des effets'!$D$7*VALUE(MID(B116,SEARCH('Liste des effets'!$B$7,B116)+LEN('Liste des effets'!$B$7)+1,SEARCH(",",B116,SEARCH('Liste des effets'!$B$7,B116))-(SEARCH('Liste des effets'!$B$7,B116)+LEN('Liste des effets'!$B$7)+1))),0)     +     IFERROR('Liste des effets'!$D$8*VALUE(MID(B116,SEARCH('Liste des effets'!$B$8,B116)+LEN('Liste des effets'!$B$8)+1,SEARCH(",",B116,SEARCH('Liste des effets'!$B$8,B116))-(SEARCH('Liste des effets'!$B$8,B116)+LEN('Liste des effets'!$B$8)+1))),0)     +     IFERROR('Liste des effets'!$D$9*VALUE(MID(B116,SEARCH('Liste des effets'!$B$9,B116)+LEN('Liste des effets'!$B$9)+1,SEARCH(",",B116,SEARCH('Liste des effets'!$B$9,B116))-(SEARCH('Liste des effets'!$B$9,B116)+LEN('Liste des effets'!$B$9)+1))),0)     +     IFERROR('Liste des effets'!$D$10*VALUE(MID(B116,SEARCH('Liste des effets'!$B$10,B116)+LEN('Liste des effets'!$B$10)+1,SEARCH(",",B116,SEARCH('Liste des effets'!$B$10,B116))-(SEARCH('Liste des effets'!$B$10,B116)+LEN('Liste des effets'!$B$10)+1))),0)     +     IFERROR('Liste des effets'!$D$11*VALUE(MID(B116,SEARCH('Liste des effets'!$B$11,B116)+LEN('Liste des effets'!$B$11)+1,SEARCH(",",B116,SEARCH('Liste des effets'!$B$11,B116))-(SEARCH('Liste des effets'!$B$11,B116)+LEN('Liste des effets'!$B$11)+1))),0)     +     IFERROR('Liste des effets'!$D$12*VALUE(MID(B116,SEARCH('Liste des effets'!$B$12,B116)+LEN('Liste des effets'!$B$12)+1,SEARCH(",",B116,SEARCH('Liste des effets'!$B$12,B116))-(SEARCH('Liste des effets'!$B$12,B116)+LEN('Liste des effets'!$B$12)+1))),0)     +     IFERROR('Liste des effets'!$D$13*VALUE(MID(B116,SEARCH('Liste des effets'!$B$13,B116)+LEN('Liste des effets'!$B$13)+1,SEARCH(",",B116,SEARCH('Liste des effets'!$B$13,B116))-(SEARCH('Liste des effets'!$B$13,B116)+LEN('Liste des effets'!$B$13)+1))),0)     +     IFERROR('Liste des effets'!$D$14*VALUE(MID(B116,SEARCH('Liste des effets'!$B$14,B116)+LEN('Liste des effets'!$B$14)+1,SEARCH(",",B116,SEARCH('Liste des effets'!$B$14,B116))-(SEARCH('Liste des effets'!$B$14,B116)+LEN('Liste des effets'!$B$14)+1))),0)     +     IFERROR('Liste des effets'!$D$15*VALUE(MID(B116,SEARCH('Liste des effets'!$B$15,B116)+LEN('Liste des effets'!$B$15)+1,SEARCH(",",B116,SEARCH('Liste des effets'!$B$15,B116))-(SEARCH('Liste des effets'!$B$15,B116)+LEN('Liste des effets'!$B$15)+1))),0)     +     'Liste des effets'!$D$16*IF(IFERROR(SEARCH('Liste des effets'!$B$16,B116),0)&gt;0,1,0)     +     'Liste des effets'!$D$17*IF(IFERROR(SEARCH('Liste des effets'!$B$17,B116),0)&gt;0,1,0)     +     'Liste des effets'!$D$18*IF(IFERROR(SEARCH('Liste des effets'!$B$18,B116),0)&gt;0,1,0)     +     'Liste des effets'!$D$19*IF(IFERROR(SEARCH('Liste des effets'!$B$19,B116),0)&gt;0,1,0)      +     IF(IFERROR(SEARCH('Liste des effets'!$B$20,B116),0)&gt;0,1,0)    *     IF(B114='Equilibrage de base des sorts'!$B$5,'Equilibrage de base des sorts'!$C$9,0)      +     IF(IFERROR(SEARCH('Liste des effets'!$B$20,B116),0)&gt;0,1,0)    *     IF(B114='Equilibrage de base des sorts'!$B$10,'Equilibrage de base des sorts'!$C$14,0)      +     IF(IFERROR(SEARCH('Liste des effets'!$B$20,B116),0)&gt;0,1,0)    *     IF(B114='Equilibrage de base des sorts'!$B$15,'Equilibrage de base des sorts'!$C$19,0)      +     IF(IFERROR(SEARCH('Liste des effets'!$B$20,B116),0)&gt;0,1,0)    *     IF(B114='Equilibrage de base des sorts'!$B$20,'Equilibrage de base des sorts'!$C$24,0)</f>
        <v>17.5</v>
      </c>
      <c r="H117" s="25"/>
      <c r="I117" s="26"/>
      <c r="K117" s="15" t="s">
        <v>52</v>
      </c>
      <c r="L117" s="15">
        <f>IFERROR('Liste des effets'!$D$5*VALUE(MID(H116,SEARCH('Liste des effets'!$B$5,H116)+LEN('Liste des effets'!$B$5)+1,SEARCH(",",H116,SEARCH('Liste des effets'!$B$5,H116))-(SEARCH('Liste des effets'!$B$5,H116)+LEN('Liste des effets'!$B$5)+1))),0)     +     IFERROR('Liste des effets'!$D$6*VALUE(MID(H116,SEARCH('Liste des effets'!$B$6,H116)+LEN('Liste des effets'!$B$6)+1,SEARCH(",",H116,SEARCH('Liste des effets'!$B$6,H116))-(SEARCH('Liste des effets'!$B$6,H116)+LEN('Liste des effets'!$B$6)+1))),0)     +     IFERROR('Liste des effets'!$D$7*VALUE(MID(H116,SEARCH('Liste des effets'!$B$7,H116)+LEN('Liste des effets'!$B$7)+1,SEARCH(",",H116,SEARCH('Liste des effets'!$B$7,H116))-(SEARCH('Liste des effets'!$B$7,H116)+LEN('Liste des effets'!$B$7)+1))),0)     +     IFERROR('Liste des effets'!$D$8*VALUE(MID(H116,SEARCH('Liste des effets'!$B$8,H116)+LEN('Liste des effets'!$B$8)+1,SEARCH(",",H116,SEARCH('Liste des effets'!$B$8,H116))-(SEARCH('Liste des effets'!$B$8,H116)+LEN('Liste des effets'!$B$8)+1))),0)     +     IFERROR('Liste des effets'!$D$9*VALUE(MID(H116,SEARCH('Liste des effets'!$B$9,H116)+LEN('Liste des effets'!$B$9)+1,SEARCH(",",H116,SEARCH('Liste des effets'!$B$9,H116))-(SEARCH('Liste des effets'!$B$9,H116)+LEN('Liste des effets'!$B$9)+1))),0)     +     IFERROR('Liste des effets'!$D$10*VALUE(MID(H116,SEARCH('Liste des effets'!$B$10,H116)+LEN('Liste des effets'!$B$10)+1,SEARCH(",",H116,SEARCH('Liste des effets'!$B$10,H116))-(SEARCH('Liste des effets'!$B$10,H116)+LEN('Liste des effets'!$B$10)+1))),0)     +     IFERROR('Liste des effets'!$D$11*VALUE(MID(H116,SEARCH('Liste des effets'!$B$11,H116)+LEN('Liste des effets'!$B$11)+1,SEARCH(",",H116,SEARCH('Liste des effets'!$B$11,H116))-(SEARCH('Liste des effets'!$B$11,H116)+LEN('Liste des effets'!$B$11)+1))),0)     +     IFERROR('Liste des effets'!$D$12*VALUE(MID(H116,SEARCH('Liste des effets'!$B$12,H116)+LEN('Liste des effets'!$B$12)+1,SEARCH(",",H116,SEARCH('Liste des effets'!$B$12,H116))-(SEARCH('Liste des effets'!$B$12,H116)+LEN('Liste des effets'!$B$12)+1))),0)     +     IFERROR('Liste des effets'!$D$13*VALUE(MID(H116,SEARCH('Liste des effets'!$B$13,H116)+LEN('Liste des effets'!$B$13)+1,SEARCH(",",H116,SEARCH('Liste des effets'!$B$13,H116))-(SEARCH('Liste des effets'!$B$13,H116)+LEN('Liste des effets'!$B$13)+1))),0)     +     IFERROR('Liste des effets'!$D$14*VALUE(MID(H116,SEARCH('Liste des effets'!$B$14,H116)+LEN('Liste des effets'!$B$14)+1,SEARCH(",",H116,SEARCH('Liste des effets'!$B$14,H116))-(SEARCH('Liste des effets'!$B$14,H116)+LEN('Liste des effets'!$B$14)+1))),0)     +     IFERROR('Liste des effets'!$D$15*VALUE(MID(H116,SEARCH('Liste des effets'!$B$15,H116)+LEN('Liste des effets'!$B$15)+1,SEARCH(",",H116,SEARCH('Liste des effets'!$B$15,H116))-(SEARCH('Liste des effets'!$B$15,H116)+LEN('Liste des effets'!$B$15)+1))),0)     +     'Liste des effets'!$D$16*IF(IFERROR(SEARCH('Liste des effets'!$B$16,H116),0)&gt;0,1,0)     +     'Liste des effets'!$D$17*IF(IFERROR(SEARCH('Liste des effets'!$B$17,H116),0)&gt;0,1,0)     +     'Liste des effets'!$D$18*IF(IFERROR(SEARCH('Liste des effets'!$B$18,H116),0)&gt;0,1,0)     +     'Liste des effets'!$D$19*IF(IFERROR(SEARCH('Liste des effets'!$B$19,H116),0)&gt;0,1,0)      +     IF(IFERROR(SEARCH('Liste des effets'!$B$20,H116),0)&gt;0,1,0)    *     IF(H114='Equilibrage de base des sorts'!$B$5,'Equilibrage de base des sorts'!$C$9,0)      +     IF(IFERROR(SEARCH('Liste des effets'!$B$20,H116),0)&gt;0,1,0)    *     IF(H114='Equilibrage de base des sorts'!$B$10,'Equilibrage de base des sorts'!$C$14,0)      +     IF(IFERROR(SEARCH('Liste des effets'!$B$20,H116),0)&gt;0,1,0)    *     IF(H114='Equilibrage de base des sorts'!$B$15,'Equilibrage de base des sorts'!$C$19,0)      +     IF(IFERROR(SEARCH('Liste des effets'!$B$20,H116),0)&gt;0,1,0)    *     IF(H114='Equilibrage de base des sorts'!$B$20,'Equilibrage de base des sorts'!$C$24,0)</f>
        <v>31</v>
      </c>
    </row>
    <row r="118" spans="2:12" x14ac:dyDescent="0.25">
      <c r="B118" s="25"/>
      <c r="C118" s="26"/>
      <c r="E118" s="2" t="s">
        <v>53</v>
      </c>
      <c r="F118" s="2">
        <f>F115+F116+F117</f>
        <v>15.5</v>
      </c>
      <c r="H118" s="25"/>
      <c r="I118" s="26"/>
      <c r="K118" s="2" t="s">
        <v>53</v>
      </c>
      <c r="L118" s="2">
        <f>L115+L116+L117</f>
        <v>10</v>
      </c>
    </row>
    <row r="119" spans="2:12" ht="15.75" thickBot="1" x14ac:dyDescent="0.3">
      <c r="B119" s="27"/>
      <c r="C119" s="28"/>
      <c r="H119" s="27"/>
      <c r="I119" s="28"/>
    </row>
    <row r="120" spans="2:12" ht="15.75" thickBot="1" x14ac:dyDescent="0.3"/>
    <row r="121" spans="2:12" ht="18.75" x14ac:dyDescent="0.25">
      <c r="B121" s="19" t="s">
        <v>138</v>
      </c>
      <c r="C121" s="20"/>
    </row>
    <row r="122" spans="2:12" x14ac:dyDescent="0.25">
      <c r="B122" s="9" t="s">
        <v>48</v>
      </c>
      <c r="C122" s="10" t="s">
        <v>125</v>
      </c>
      <c r="E122" s="21" t="s">
        <v>54</v>
      </c>
      <c r="F122" s="22"/>
    </row>
    <row r="123" spans="2:12" ht="15.75" thickBot="1" x14ac:dyDescent="0.3">
      <c r="B123" s="9">
        <v>4</v>
      </c>
      <c r="C123" s="14">
        <v>4</v>
      </c>
      <c r="E123" t="s">
        <v>37</v>
      </c>
      <c r="F123">
        <f>IF(B122='Equilibrage de base des sorts'!$B$5,'Equilibrage de base des sorts'!$C$7-B123,0)*'Equilibrage de base des sorts'!$C$8    +    IF(B122='Equilibrage de base des sorts'!$B$10,'Equilibrage de base des sorts'!$C$12-B123,0)*'Equilibrage de base des sorts'!$C$13    +    IF(B122='Equilibrage de base des sorts'!$B$15,'Equilibrage de base des sorts'!$C$17-B123,0)*'Equilibrage de base des sorts'!$C$18    +    IF(B122='Equilibrage de base des sorts'!$B$20,'Equilibrage de base des sorts'!$C$22-B123,0)*'Equilibrage de base des sorts'!$C$23</f>
        <v>0</v>
      </c>
    </row>
    <row r="124" spans="2:12" x14ac:dyDescent="0.25">
      <c r="B124" s="23" t="s">
        <v>127</v>
      </c>
      <c r="C124" s="24"/>
      <c r="E124" t="s">
        <v>51</v>
      </c>
      <c r="F124">
        <f>-C123*5</f>
        <v>-20</v>
      </c>
    </row>
    <row r="125" spans="2:12" x14ac:dyDescent="0.25">
      <c r="B125" s="25"/>
      <c r="C125" s="26"/>
      <c r="E125" s="15" t="s">
        <v>52</v>
      </c>
      <c r="F125" s="15">
        <f>IFERROR('Liste des effets'!$D$5*VALUE(MID(B124,SEARCH('Liste des effets'!$B$5,B124)+LEN('Liste des effets'!$B$5)+1,SEARCH(",",B124,SEARCH('Liste des effets'!$B$5,B124))-(SEARCH('Liste des effets'!$B$5,B124)+LEN('Liste des effets'!$B$5)+1))),0)     +     IFERROR('Liste des effets'!$D$6*VALUE(MID(B124,SEARCH('Liste des effets'!$B$6,B124)+LEN('Liste des effets'!$B$6)+1,SEARCH(",",B124,SEARCH('Liste des effets'!$B$6,B124))-(SEARCH('Liste des effets'!$B$6,B124)+LEN('Liste des effets'!$B$6)+1))),0)     +     IFERROR('Liste des effets'!$D$7*VALUE(MID(B124,SEARCH('Liste des effets'!$B$7,B124)+LEN('Liste des effets'!$B$7)+1,SEARCH(",",B124,SEARCH('Liste des effets'!$B$7,B124))-(SEARCH('Liste des effets'!$B$7,B124)+LEN('Liste des effets'!$B$7)+1))),0)     +     IFERROR('Liste des effets'!$D$8*VALUE(MID(B124,SEARCH('Liste des effets'!$B$8,B124)+LEN('Liste des effets'!$B$8)+1,SEARCH(",",B124,SEARCH('Liste des effets'!$B$8,B124))-(SEARCH('Liste des effets'!$B$8,B124)+LEN('Liste des effets'!$B$8)+1))),0)     +     IFERROR('Liste des effets'!$D$9*VALUE(MID(B124,SEARCH('Liste des effets'!$B$9,B124)+LEN('Liste des effets'!$B$9)+1,SEARCH(",",B124,SEARCH('Liste des effets'!$B$9,B124))-(SEARCH('Liste des effets'!$B$9,B124)+LEN('Liste des effets'!$B$9)+1))),0)     +     IFERROR('Liste des effets'!$D$10*VALUE(MID(B124,SEARCH('Liste des effets'!$B$10,B124)+LEN('Liste des effets'!$B$10)+1,SEARCH(",",B124,SEARCH('Liste des effets'!$B$10,B124))-(SEARCH('Liste des effets'!$B$10,B124)+LEN('Liste des effets'!$B$10)+1))),0)     +     IFERROR('Liste des effets'!$D$11*VALUE(MID(B124,SEARCH('Liste des effets'!$B$11,B124)+LEN('Liste des effets'!$B$11)+1,SEARCH(",",B124,SEARCH('Liste des effets'!$B$11,B124))-(SEARCH('Liste des effets'!$B$11,B124)+LEN('Liste des effets'!$B$11)+1))),0)     +     IFERROR('Liste des effets'!$D$12*VALUE(MID(B124,SEARCH('Liste des effets'!$B$12,B124)+LEN('Liste des effets'!$B$12)+1,SEARCH(",",B124,SEARCH('Liste des effets'!$B$12,B124))-(SEARCH('Liste des effets'!$B$12,B124)+LEN('Liste des effets'!$B$12)+1))),0)     +     IFERROR('Liste des effets'!$D$13*VALUE(MID(B124,SEARCH('Liste des effets'!$B$13,B124)+LEN('Liste des effets'!$B$13)+1,SEARCH(",",B124,SEARCH('Liste des effets'!$B$13,B124))-(SEARCH('Liste des effets'!$B$13,B124)+LEN('Liste des effets'!$B$13)+1))),0)     +     IFERROR('Liste des effets'!$D$14*VALUE(MID(B124,SEARCH('Liste des effets'!$B$14,B124)+LEN('Liste des effets'!$B$14)+1,SEARCH(",",B124,SEARCH('Liste des effets'!$B$14,B124))-(SEARCH('Liste des effets'!$B$14,B124)+LEN('Liste des effets'!$B$14)+1))),0)     +     IFERROR('Liste des effets'!$D$15*VALUE(MID(B124,SEARCH('Liste des effets'!$B$15,B124)+LEN('Liste des effets'!$B$15)+1,SEARCH(",",B124,SEARCH('Liste des effets'!$B$15,B124))-(SEARCH('Liste des effets'!$B$15,B124)+LEN('Liste des effets'!$B$15)+1))),0)     +     'Liste des effets'!$D$16*IF(IFERROR(SEARCH('Liste des effets'!$B$16,B124),0)&gt;0,1,0)     +     'Liste des effets'!$D$17*IF(IFERROR(SEARCH('Liste des effets'!$B$17,B124),0)&gt;0,1,0)     +     'Liste des effets'!$D$18*IF(IFERROR(SEARCH('Liste des effets'!$B$18,B124),0)&gt;0,1,0)     +     'Liste des effets'!$D$19*IF(IFERROR(SEARCH('Liste des effets'!$B$19,B124),0)&gt;0,1,0)      +     IF(IFERROR(SEARCH('Liste des effets'!$B$20,B124),0)&gt;0,1,0)    *     IF(B122='Equilibrage de base des sorts'!$B$5,'Equilibrage de base des sorts'!$C$9,0)      +     IF(IFERROR(SEARCH('Liste des effets'!$B$20,B124),0)&gt;0,1,0)    *     IF(B122='Equilibrage de base des sorts'!$B$10,'Equilibrage de base des sorts'!$C$14,0)      +     IF(IFERROR(SEARCH('Liste des effets'!$B$20,B124),0)&gt;0,1,0)    *     IF(B122='Equilibrage de base des sorts'!$B$15,'Equilibrage de base des sorts'!$C$19,0)      +     IF(IFERROR(SEARCH('Liste des effets'!$B$20,B124),0)&gt;0,1,0)    *     IF(B122='Equilibrage de base des sorts'!$B$20,'Equilibrage de base des sorts'!$C$24,0)</f>
        <v>30</v>
      </c>
    </row>
    <row r="126" spans="2:12" x14ac:dyDescent="0.25">
      <c r="B126" s="25"/>
      <c r="C126" s="26"/>
      <c r="E126" s="2" t="s">
        <v>53</v>
      </c>
      <c r="F126" s="2">
        <f>F123+F124+F125</f>
        <v>10</v>
      </c>
    </row>
    <row r="127" spans="2:12" ht="15.75" thickBot="1" x14ac:dyDescent="0.3">
      <c r="B127" s="27"/>
      <c r="C127" s="28"/>
    </row>
    <row r="128" spans="2:12" ht="15.75" thickBot="1" x14ac:dyDescent="0.3"/>
    <row r="129" spans="2:18" ht="18.75" x14ac:dyDescent="0.25">
      <c r="B129" s="19" t="s">
        <v>139</v>
      </c>
      <c r="C129" s="20"/>
      <c r="H129" s="19" t="s">
        <v>140</v>
      </c>
      <c r="I129" s="20"/>
    </row>
    <row r="130" spans="2:18" x14ac:dyDescent="0.25">
      <c r="B130" s="9" t="s">
        <v>49</v>
      </c>
      <c r="C130" s="10" t="s">
        <v>125</v>
      </c>
      <c r="E130" s="21" t="s">
        <v>54</v>
      </c>
      <c r="F130" s="22"/>
      <c r="H130" s="9" t="s">
        <v>49</v>
      </c>
      <c r="I130" s="10" t="s">
        <v>125</v>
      </c>
      <c r="K130" s="21" t="s">
        <v>54</v>
      </c>
      <c r="L130" s="22"/>
    </row>
    <row r="131" spans="2:18" ht="15.75" thickBot="1" x14ac:dyDescent="0.3">
      <c r="B131" s="9">
        <v>4</v>
      </c>
      <c r="C131" s="14">
        <v>2</v>
      </c>
      <c r="E131" t="s">
        <v>37</v>
      </c>
      <c r="F131">
        <f>IF(B130='Equilibrage de base des sorts'!$B$5,'Equilibrage de base des sorts'!$C$7-B131,0)*'Equilibrage de base des sorts'!$C$8    +    IF(B130='Equilibrage de base des sorts'!$B$10,'Equilibrage de base des sorts'!$C$12-B131,0)*'Equilibrage de base des sorts'!$C$13    +    IF(B130='Equilibrage de base des sorts'!$B$15,'Equilibrage de base des sorts'!$C$17-B131,0)*'Equilibrage de base des sorts'!$C$18    +    IF(B130='Equilibrage de base des sorts'!$B$20,'Equilibrage de base des sorts'!$C$22-B131,0)*'Equilibrage de base des sorts'!$C$23</f>
        <v>0</v>
      </c>
      <c r="H131" s="9">
        <v>2</v>
      </c>
      <c r="I131" s="14">
        <v>5</v>
      </c>
      <c r="K131" t="s">
        <v>37</v>
      </c>
      <c r="L131">
        <f>IF(H130='Equilibrage de base des sorts'!$B$5,'Equilibrage de base des sorts'!$C$7-H131,0)*'Equilibrage de base des sorts'!$C$8    +    IF(H130='Equilibrage de base des sorts'!$B$10,'Equilibrage de base des sorts'!$C$12-H131,0)*'Equilibrage de base des sorts'!$C$13    +    IF(H130='Equilibrage de base des sorts'!$B$15,'Equilibrage de base des sorts'!$C$17-H131,0)*'Equilibrage de base des sorts'!$C$18    +    IF(H130='Equilibrage de base des sorts'!$B$20,'Equilibrage de base des sorts'!$C$22-H131,0)*'Equilibrage de base des sorts'!$C$23</f>
        <v>8</v>
      </c>
    </row>
    <row r="132" spans="2:18" x14ac:dyDescent="0.25">
      <c r="B132" s="23" t="s">
        <v>121</v>
      </c>
      <c r="C132" s="24"/>
      <c r="E132" t="s">
        <v>51</v>
      </c>
      <c r="F132">
        <f>-C131*5</f>
        <v>-10</v>
      </c>
      <c r="H132" s="23" t="s">
        <v>159</v>
      </c>
      <c r="I132" s="24"/>
      <c r="K132" t="s">
        <v>51</v>
      </c>
      <c r="L132">
        <f>-I131*5</f>
        <v>-25</v>
      </c>
    </row>
    <row r="133" spans="2:18" x14ac:dyDescent="0.25">
      <c r="B133" s="25"/>
      <c r="C133" s="26"/>
      <c r="E133" s="15" t="s">
        <v>52</v>
      </c>
      <c r="F133" s="15">
        <f>IFERROR('Liste des effets'!$D$5*VALUE(MID(B132,SEARCH('Liste des effets'!$B$5,B132)+LEN('Liste des effets'!$B$5)+1,SEARCH(",",B132,SEARCH('Liste des effets'!$B$5,B132))-(SEARCH('Liste des effets'!$B$5,B132)+LEN('Liste des effets'!$B$5)+1))),0)     +     IFERROR('Liste des effets'!$D$6*VALUE(MID(B132,SEARCH('Liste des effets'!$B$6,B132)+LEN('Liste des effets'!$B$6)+1,SEARCH(",",B132,SEARCH('Liste des effets'!$B$6,B132))-(SEARCH('Liste des effets'!$B$6,B132)+LEN('Liste des effets'!$B$6)+1))),0)     +     IFERROR('Liste des effets'!$D$7*VALUE(MID(B132,SEARCH('Liste des effets'!$B$7,B132)+LEN('Liste des effets'!$B$7)+1,SEARCH(",",B132,SEARCH('Liste des effets'!$B$7,B132))-(SEARCH('Liste des effets'!$B$7,B132)+LEN('Liste des effets'!$B$7)+1))),0)     +     IFERROR('Liste des effets'!$D$8*VALUE(MID(B132,SEARCH('Liste des effets'!$B$8,B132)+LEN('Liste des effets'!$B$8)+1,SEARCH(",",B132,SEARCH('Liste des effets'!$B$8,B132))-(SEARCH('Liste des effets'!$B$8,B132)+LEN('Liste des effets'!$B$8)+1))),0)     +     IFERROR('Liste des effets'!$D$9*VALUE(MID(B132,SEARCH('Liste des effets'!$B$9,B132)+LEN('Liste des effets'!$B$9)+1,SEARCH(",",B132,SEARCH('Liste des effets'!$B$9,B132))-(SEARCH('Liste des effets'!$B$9,B132)+LEN('Liste des effets'!$B$9)+1))),0)     +     IFERROR('Liste des effets'!$D$10*VALUE(MID(B132,SEARCH('Liste des effets'!$B$10,B132)+LEN('Liste des effets'!$B$10)+1,SEARCH(",",B132,SEARCH('Liste des effets'!$B$10,B132))-(SEARCH('Liste des effets'!$B$10,B132)+LEN('Liste des effets'!$B$10)+1))),0)     +     IFERROR('Liste des effets'!$D$11*VALUE(MID(B132,SEARCH('Liste des effets'!$B$11,B132)+LEN('Liste des effets'!$B$11)+1,SEARCH(",",B132,SEARCH('Liste des effets'!$B$11,B132))-(SEARCH('Liste des effets'!$B$11,B132)+LEN('Liste des effets'!$B$11)+1))),0)     +     IFERROR('Liste des effets'!$D$12*VALUE(MID(B132,SEARCH('Liste des effets'!$B$12,B132)+LEN('Liste des effets'!$B$12)+1,SEARCH(",",B132,SEARCH('Liste des effets'!$B$12,B132))-(SEARCH('Liste des effets'!$B$12,B132)+LEN('Liste des effets'!$B$12)+1))),0)     +     IFERROR('Liste des effets'!$D$13*VALUE(MID(B132,SEARCH('Liste des effets'!$B$13,B132)+LEN('Liste des effets'!$B$13)+1,SEARCH(",",B132,SEARCH('Liste des effets'!$B$13,B132))-(SEARCH('Liste des effets'!$B$13,B132)+LEN('Liste des effets'!$B$13)+1))),0)     +     IFERROR('Liste des effets'!$D$14*VALUE(MID(B132,SEARCH('Liste des effets'!$B$14,B132)+LEN('Liste des effets'!$B$14)+1,SEARCH(",",B132,SEARCH('Liste des effets'!$B$14,B132))-(SEARCH('Liste des effets'!$B$14,B132)+LEN('Liste des effets'!$B$14)+1))),0)     +     IFERROR('Liste des effets'!$D$15*VALUE(MID(B132,SEARCH('Liste des effets'!$B$15,B132)+LEN('Liste des effets'!$B$15)+1,SEARCH(",",B132,SEARCH('Liste des effets'!$B$15,B132))-(SEARCH('Liste des effets'!$B$15,B132)+LEN('Liste des effets'!$B$15)+1))),0)     +     'Liste des effets'!$D$16*IF(IFERROR(SEARCH('Liste des effets'!$B$16,B132),0)&gt;0,1,0)     +     'Liste des effets'!$D$17*IF(IFERROR(SEARCH('Liste des effets'!$B$17,B132),0)&gt;0,1,0)     +     'Liste des effets'!$D$18*IF(IFERROR(SEARCH('Liste des effets'!$B$18,B132),0)&gt;0,1,0)     +     'Liste des effets'!$D$19*IF(IFERROR(SEARCH('Liste des effets'!$B$19,B132),0)&gt;0,1,0)      +     IF(IFERROR(SEARCH('Liste des effets'!$B$20,B132),0)&gt;0,1,0)    *     IF(B130='Equilibrage de base des sorts'!$B$5,'Equilibrage de base des sorts'!$C$9,0)      +     IF(IFERROR(SEARCH('Liste des effets'!$B$20,B132),0)&gt;0,1,0)    *     IF(B130='Equilibrage de base des sorts'!$B$10,'Equilibrage de base des sorts'!$C$14,0)      +     IF(IFERROR(SEARCH('Liste des effets'!$B$20,B132),0)&gt;0,1,0)    *     IF(B130='Equilibrage de base des sorts'!$B$15,'Equilibrage de base des sorts'!$C$19,0)      +     IF(IFERROR(SEARCH('Liste des effets'!$B$20,B132),0)&gt;0,1,0)    *     IF(B130='Equilibrage de base des sorts'!$B$20,'Equilibrage de base des sorts'!$C$24,0)</f>
        <v>20</v>
      </c>
      <c r="H133" s="25"/>
      <c r="I133" s="26"/>
      <c r="K133" s="15" t="s">
        <v>52</v>
      </c>
      <c r="L133" s="15">
        <f>IFERROR('Liste des effets'!$D$5*VALUE(MID(H132,SEARCH('Liste des effets'!$B$5,H132)+LEN('Liste des effets'!$B$5)+1,SEARCH(",",H132,SEARCH('Liste des effets'!$B$5,H132))-(SEARCH('Liste des effets'!$B$5,H132)+LEN('Liste des effets'!$B$5)+1))),0)     +     IFERROR('Liste des effets'!$D$6*VALUE(MID(H132,SEARCH('Liste des effets'!$B$6,H132)+LEN('Liste des effets'!$B$6)+1,SEARCH(",",H132,SEARCH('Liste des effets'!$B$6,H132))-(SEARCH('Liste des effets'!$B$6,H132)+LEN('Liste des effets'!$B$6)+1))),0)     +     IFERROR('Liste des effets'!$D$7*VALUE(MID(H132,SEARCH('Liste des effets'!$B$7,H132)+LEN('Liste des effets'!$B$7)+1,SEARCH(",",H132,SEARCH('Liste des effets'!$B$7,H132))-(SEARCH('Liste des effets'!$B$7,H132)+LEN('Liste des effets'!$B$7)+1))),0)     +     IFERROR('Liste des effets'!$D$8*VALUE(MID(H132,SEARCH('Liste des effets'!$B$8,H132)+LEN('Liste des effets'!$B$8)+1,SEARCH(",",H132,SEARCH('Liste des effets'!$B$8,H132))-(SEARCH('Liste des effets'!$B$8,H132)+LEN('Liste des effets'!$B$8)+1))),0)     +     IFERROR('Liste des effets'!$D$9*VALUE(MID(H132,SEARCH('Liste des effets'!$B$9,H132)+LEN('Liste des effets'!$B$9)+1,SEARCH(",",H132,SEARCH('Liste des effets'!$B$9,H132))-(SEARCH('Liste des effets'!$B$9,H132)+LEN('Liste des effets'!$B$9)+1))),0)     +     IFERROR('Liste des effets'!$D$10*VALUE(MID(H132,SEARCH('Liste des effets'!$B$10,H132)+LEN('Liste des effets'!$B$10)+1,SEARCH(",",H132,SEARCH('Liste des effets'!$B$10,H132))-(SEARCH('Liste des effets'!$B$10,H132)+LEN('Liste des effets'!$B$10)+1))),0)     +     IFERROR('Liste des effets'!$D$11*VALUE(MID(H132,SEARCH('Liste des effets'!$B$11,H132)+LEN('Liste des effets'!$B$11)+1,SEARCH(",",H132,SEARCH('Liste des effets'!$B$11,H132))-(SEARCH('Liste des effets'!$B$11,H132)+LEN('Liste des effets'!$B$11)+1))),0)     +     IFERROR('Liste des effets'!$D$12*VALUE(MID(H132,SEARCH('Liste des effets'!$B$12,H132)+LEN('Liste des effets'!$B$12)+1,SEARCH(",",H132,SEARCH('Liste des effets'!$B$12,H132))-(SEARCH('Liste des effets'!$B$12,H132)+LEN('Liste des effets'!$B$12)+1))),0)     +     IFERROR('Liste des effets'!$D$13*VALUE(MID(H132,SEARCH('Liste des effets'!$B$13,H132)+LEN('Liste des effets'!$B$13)+1,SEARCH(",",H132,SEARCH('Liste des effets'!$B$13,H132))-(SEARCH('Liste des effets'!$B$13,H132)+LEN('Liste des effets'!$B$13)+1))),0)     +     IFERROR('Liste des effets'!$D$14*VALUE(MID(H132,SEARCH('Liste des effets'!$B$14,H132)+LEN('Liste des effets'!$B$14)+1,SEARCH(",",H132,SEARCH('Liste des effets'!$B$14,H132))-(SEARCH('Liste des effets'!$B$14,H132)+LEN('Liste des effets'!$B$14)+1))),0)     +     IFERROR('Liste des effets'!$D$15*VALUE(MID(H132,SEARCH('Liste des effets'!$B$15,H132)+LEN('Liste des effets'!$B$15)+1,SEARCH(",",H132,SEARCH('Liste des effets'!$B$15,H132))-(SEARCH('Liste des effets'!$B$15,H132)+LEN('Liste des effets'!$B$15)+1))),0)     +     'Liste des effets'!$D$16*IF(IFERROR(SEARCH('Liste des effets'!$B$16,H132),0)&gt;0,1,0)     +     'Liste des effets'!$D$17*IF(IFERROR(SEARCH('Liste des effets'!$B$17,H132),0)&gt;0,1,0)     +     'Liste des effets'!$D$18*IF(IFERROR(SEARCH('Liste des effets'!$B$18,H132),0)&gt;0,1,0)     +     'Liste des effets'!$D$19*IF(IFERROR(SEARCH('Liste des effets'!$B$19,H132),0)&gt;0,1,0)      +     IF(IFERROR(SEARCH('Liste des effets'!$B$20,H132),0)&gt;0,1,0)    *     IF(H130='Equilibrage de base des sorts'!$B$5,'Equilibrage de base des sorts'!$C$9,0)      +     IF(IFERROR(SEARCH('Liste des effets'!$B$20,H132),0)&gt;0,1,0)    *     IF(H130='Equilibrage de base des sorts'!$B$10,'Equilibrage de base des sorts'!$C$14,0)      +     IF(IFERROR(SEARCH('Liste des effets'!$B$20,H132),0)&gt;0,1,0)    *     IF(H130='Equilibrage de base des sorts'!$B$15,'Equilibrage de base des sorts'!$C$19,0)      +     IF(IFERROR(SEARCH('Liste des effets'!$B$20,H132),0)&gt;0,1,0)    *     IF(H130='Equilibrage de base des sorts'!$B$20,'Equilibrage de base des sorts'!$C$24,0)</f>
        <v>27.5</v>
      </c>
    </row>
    <row r="134" spans="2:18" x14ac:dyDescent="0.25">
      <c r="B134" s="25"/>
      <c r="C134" s="26"/>
      <c r="E134" s="2" t="s">
        <v>53</v>
      </c>
      <c r="F134" s="2">
        <f>F131+F132+F133</f>
        <v>10</v>
      </c>
      <c r="H134" s="25"/>
      <c r="I134" s="26"/>
      <c r="K134" s="2" t="s">
        <v>53</v>
      </c>
      <c r="L134" s="2">
        <f>L131+L132+L133</f>
        <v>10.5</v>
      </c>
    </row>
    <row r="135" spans="2:18" ht="15.75" thickBot="1" x14ac:dyDescent="0.3">
      <c r="B135" s="27"/>
      <c r="C135" s="28"/>
      <c r="H135" s="27"/>
      <c r="I135" s="28"/>
    </row>
    <row r="136" spans="2:18" ht="15.75" thickBot="1" x14ac:dyDescent="0.3"/>
    <row r="137" spans="2:18" ht="18.75" x14ac:dyDescent="0.25">
      <c r="B137" s="19" t="s">
        <v>141</v>
      </c>
      <c r="C137" s="20"/>
      <c r="H137" s="19" t="s">
        <v>142</v>
      </c>
      <c r="I137" s="20"/>
      <c r="N137" s="19" t="s">
        <v>143</v>
      </c>
      <c r="O137" s="20"/>
    </row>
    <row r="138" spans="2:18" x14ac:dyDescent="0.25">
      <c r="B138" s="9" t="s">
        <v>50</v>
      </c>
      <c r="C138" s="10" t="s">
        <v>125</v>
      </c>
      <c r="E138" s="21" t="s">
        <v>54</v>
      </c>
      <c r="F138" s="22"/>
      <c r="H138" s="9" t="s">
        <v>50</v>
      </c>
      <c r="I138" s="10" t="s">
        <v>125</v>
      </c>
      <c r="K138" s="21" t="s">
        <v>54</v>
      </c>
      <c r="L138" s="22"/>
      <c r="N138" s="9" t="s">
        <v>50</v>
      </c>
      <c r="O138" s="10" t="s">
        <v>125</v>
      </c>
      <c r="Q138" s="21" t="s">
        <v>54</v>
      </c>
      <c r="R138" s="22"/>
    </row>
    <row r="139" spans="2:18" ht="15.75" thickBot="1" x14ac:dyDescent="0.3">
      <c r="B139" s="9">
        <v>5</v>
      </c>
      <c r="C139" s="14">
        <v>0</v>
      </c>
      <c r="E139" t="s">
        <v>37</v>
      </c>
      <c r="F139">
        <f>IF(B138='Equilibrage de base des sorts'!$B$5,'Equilibrage de base des sorts'!$C$7-B139,0)*'Equilibrage de base des sorts'!$C$8    +    IF(B138='Equilibrage de base des sorts'!$B$10,'Equilibrage de base des sorts'!$C$12-B139,0)*'Equilibrage de base des sorts'!$C$13    +    IF(B138='Equilibrage de base des sorts'!$B$15,'Equilibrage de base des sorts'!$C$17-B139,0)*'Equilibrage de base des sorts'!$C$18    +    IF(B138='Equilibrage de base des sorts'!$B$20,'Equilibrage de base des sorts'!$C$22-B139,0)*'Equilibrage de base des sorts'!$C$23</f>
        <v>0</v>
      </c>
      <c r="H139" s="9">
        <v>4</v>
      </c>
      <c r="I139" s="14">
        <v>0</v>
      </c>
      <c r="K139" t="s">
        <v>37</v>
      </c>
      <c r="L139">
        <f>IF(H138='Equilibrage de base des sorts'!$B$5,'Equilibrage de base des sorts'!$C$7-H139,0)*'Equilibrage de base des sorts'!$C$8    +    IF(H138='Equilibrage de base des sorts'!$B$10,'Equilibrage de base des sorts'!$C$12-H139,0)*'Equilibrage de base des sorts'!$C$13    +    IF(H138='Equilibrage de base des sorts'!$B$15,'Equilibrage de base des sorts'!$C$17-H139,0)*'Equilibrage de base des sorts'!$C$18    +    IF(H138='Equilibrage de base des sorts'!$B$20,'Equilibrage de base des sorts'!$C$22-H139,0)*'Equilibrage de base des sorts'!$C$23</f>
        <v>5</v>
      </c>
      <c r="N139" s="9">
        <v>4</v>
      </c>
      <c r="O139" s="14">
        <v>1</v>
      </c>
      <c r="Q139" t="s">
        <v>37</v>
      </c>
      <c r="R139">
        <f>IF(N138='Equilibrage de base des sorts'!$B$5,'Equilibrage de base des sorts'!$C$7-N139,0)*'Equilibrage de base des sorts'!$C$8    +    IF(N138='Equilibrage de base des sorts'!$B$10,'Equilibrage de base des sorts'!$C$12-N139,0)*'Equilibrage de base des sorts'!$C$13    +    IF(N138='Equilibrage de base des sorts'!$B$15,'Equilibrage de base des sorts'!$C$17-N139,0)*'Equilibrage de base des sorts'!$C$18    +    IF(N138='Equilibrage de base des sorts'!$B$20,'Equilibrage de base des sorts'!$C$22-N139,0)*'Equilibrage de base des sorts'!$C$23</f>
        <v>5</v>
      </c>
    </row>
    <row r="140" spans="2:18" x14ac:dyDescent="0.25">
      <c r="B140" s="23" t="s">
        <v>155</v>
      </c>
      <c r="C140" s="24"/>
      <c r="E140" t="s">
        <v>51</v>
      </c>
      <c r="F140">
        <f>-C139*5</f>
        <v>0</v>
      </c>
      <c r="H140" s="23" t="s">
        <v>132</v>
      </c>
      <c r="I140" s="24"/>
      <c r="K140" t="s">
        <v>51</v>
      </c>
      <c r="L140">
        <f>-I139*5</f>
        <v>0</v>
      </c>
      <c r="N140" s="23" t="s">
        <v>144</v>
      </c>
      <c r="O140" s="24"/>
      <c r="Q140" t="s">
        <v>51</v>
      </c>
      <c r="R140">
        <f>-O139*5</f>
        <v>-5</v>
      </c>
    </row>
    <row r="141" spans="2:18" x14ac:dyDescent="0.25">
      <c r="B141" s="25"/>
      <c r="C141" s="26"/>
      <c r="E141" s="15" t="s">
        <v>52</v>
      </c>
      <c r="F141" s="15">
        <f>IFERROR('Liste des effets'!$D$5*VALUE(MID(B140,SEARCH('Liste des effets'!$B$5,B140)+LEN('Liste des effets'!$B$5)+1,SEARCH(",",B140,SEARCH('Liste des effets'!$B$5,B140))-(SEARCH('Liste des effets'!$B$5,B140)+LEN('Liste des effets'!$B$5)+1))),0)     +     IFERROR('Liste des effets'!$D$6*VALUE(MID(B140,SEARCH('Liste des effets'!$B$6,B140)+LEN('Liste des effets'!$B$6)+1,SEARCH(",",B140,SEARCH('Liste des effets'!$B$6,B140))-(SEARCH('Liste des effets'!$B$6,B140)+LEN('Liste des effets'!$B$6)+1))),0)     +     IFERROR('Liste des effets'!$D$7*VALUE(MID(B140,SEARCH('Liste des effets'!$B$7,B140)+LEN('Liste des effets'!$B$7)+1,SEARCH(",",B140,SEARCH('Liste des effets'!$B$7,B140))-(SEARCH('Liste des effets'!$B$7,B140)+LEN('Liste des effets'!$B$7)+1))),0)     +     IFERROR('Liste des effets'!$D$8*VALUE(MID(B140,SEARCH('Liste des effets'!$B$8,B140)+LEN('Liste des effets'!$B$8)+1,SEARCH(",",B140,SEARCH('Liste des effets'!$B$8,B140))-(SEARCH('Liste des effets'!$B$8,B140)+LEN('Liste des effets'!$B$8)+1))),0)     +     IFERROR('Liste des effets'!$D$9*VALUE(MID(B140,SEARCH('Liste des effets'!$B$9,B140)+LEN('Liste des effets'!$B$9)+1,SEARCH(",",B140,SEARCH('Liste des effets'!$B$9,B140))-(SEARCH('Liste des effets'!$B$9,B140)+LEN('Liste des effets'!$B$9)+1))),0)     +     IFERROR('Liste des effets'!$D$10*VALUE(MID(B140,SEARCH('Liste des effets'!$B$10,B140)+LEN('Liste des effets'!$B$10)+1,SEARCH(",",B140,SEARCH('Liste des effets'!$B$10,B140))-(SEARCH('Liste des effets'!$B$10,B140)+LEN('Liste des effets'!$B$10)+1))),0)     +     IFERROR('Liste des effets'!$D$11*VALUE(MID(B140,SEARCH('Liste des effets'!$B$11,B140)+LEN('Liste des effets'!$B$11)+1,SEARCH(",",B140,SEARCH('Liste des effets'!$B$11,B140))-(SEARCH('Liste des effets'!$B$11,B140)+LEN('Liste des effets'!$B$11)+1))),0)     +     IFERROR('Liste des effets'!$D$12*VALUE(MID(B140,SEARCH('Liste des effets'!$B$12,B140)+LEN('Liste des effets'!$B$12)+1,SEARCH(",",B140,SEARCH('Liste des effets'!$B$12,B140))-(SEARCH('Liste des effets'!$B$12,B140)+LEN('Liste des effets'!$B$12)+1))),0)     +     IFERROR('Liste des effets'!$D$13*VALUE(MID(B140,SEARCH('Liste des effets'!$B$13,B140)+LEN('Liste des effets'!$B$13)+1,SEARCH(",",B140,SEARCH('Liste des effets'!$B$13,B140))-(SEARCH('Liste des effets'!$B$13,B140)+LEN('Liste des effets'!$B$13)+1))),0)     +     IFERROR('Liste des effets'!$D$14*VALUE(MID(B140,SEARCH('Liste des effets'!$B$14,B140)+LEN('Liste des effets'!$B$14)+1,SEARCH(",",B140,SEARCH('Liste des effets'!$B$14,B140))-(SEARCH('Liste des effets'!$B$14,B140)+LEN('Liste des effets'!$B$14)+1))),0)     +     IFERROR('Liste des effets'!$D$15*VALUE(MID(B140,SEARCH('Liste des effets'!$B$15,B140)+LEN('Liste des effets'!$B$15)+1,SEARCH(",",B140,SEARCH('Liste des effets'!$B$15,B140))-(SEARCH('Liste des effets'!$B$15,B140)+LEN('Liste des effets'!$B$15)+1))),0)     +     'Liste des effets'!$D$16*IF(IFERROR(SEARCH('Liste des effets'!$B$16,B140),0)&gt;0,1,0)     +     'Liste des effets'!$D$17*IF(IFERROR(SEARCH('Liste des effets'!$B$17,B140),0)&gt;0,1,0)     +     'Liste des effets'!$D$18*IF(IFERROR(SEARCH('Liste des effets'!$B$18,B140),0)&gt;0,1,0)     +     'Liste des effets'!$D$19*IF(IFERROR(SEARCH('Liste des effets'!$B$19,B140),0)&gt;0,1,0)      +     IF(IFERROR(SEARCH('Liste des effets'!$B$20,B140),0)&gt;0,1,0)    *     IF(B138='Equilibrage de base des sorts'!$B$5,'Equilibrage de base des sorts'!$C$9,0)      +     IF(IFERROR(SEARCH('Liste des effets'!$B$20,B140),0)&gt;0,1,0)    *     IF(B138='Equilibrage de base des sorts'!$B$10,'Equilibrage de base des sorts'!$C$14,0)      +     IF(IFERROR(SEARCH('Liste des effets'!$B$20,B140),0)&gt;0,1,0)    *     IF(B138='Equilibrage de base des sorts'!$B$15,'Equilibrage de base des sorts'!$C$19,0)      +     IF(IFERROR(SEARCH('Liste des effets'!$B$20,B140),0)&gt;0,1,0)    *     IF(B138='Equilibrage de base des sorts'!$B$20,'Equilibrage de base des sorts'!$C$24,0)</f>
        <v>10</v>
      </c>
      <c r="H141" s="25"/>
      <c r="I141" s="26"/>
      <c r="K141" s="15" t="s">
        <v>52</v>
      </c>
      <c r="L141" s="15">
        <f>IFERROR('Liste des effets'!$D$5*VALUE(MID(H140,SEARCH('Liste des effets'!$B$5,H140)+LEN('Liste des effets'!$B$5)+1,SEARCH(",",H140,SEARCH('Liste des effets'!$B$5,H140))-(SEARCH('Liste des effets'!$B$5,H140)+LEN('Liste des effets'!$B$5)+1))),0)     +     IFERROR('Liste des effets'!$D$6*VALUE(MID(H140,SEARCH('Liste des effets'!$B$6,H140)+LEN('Liste des effets'!$B$6)+1,SEARCH(",",H140,SEARCH('Liste des effets'!$B$6,H140))-(SEARCH('Liste des effets'!$B$6,H140)+LEN('Liste des effets'!$B$6)+1))),0)     +     IFERROR('Liste des effets'!$D$7*VALUE(MID(H140,SEARCH('Liste des effets'!$B$7,H140)+LEN('Liste des effets'!$B$7)+1,SEARCH(",",H140,SEARCH('Liste des effets'!$B$7,H140))-(SEARCH('Liste des effets'!$B$7,H140)+LEN('Liste des effets'!$B$7)+1))),0)     +     IFERROR('Liste des effets'!$D$8*VALUE(MID(H140,SEARCH('Liste des effets'!$B$8,H140)+LEN('Liste des effets'!$B$8)+1,SEARCH(",",H140,SEARCH('Liste des effets'!$B$8,H140))-(SEARCH('Liste des effets'!$B$8,H140)+LEN('Liste des effets'!$B$8)+1))),0)     +     IFERROR('Liste des effets'!$D$9*VALUE(MID(H140,SEARCH('Liste des effets'!$B$9,H140)+LEN('Liste des effets'!$B$9)+1,SEARCH(",",H140,SEARCH('Liste des effets'!$B$9,H140))-(SEARCH('Liste des effets'!$B$9,H140)+LEN('Liste des effets'!$B$9)+1))),0)     +     IFERROR('Liste des effets'!$D$10*VALUE(MID(H140,SEARCH('Liste des effets'!$B$10,H140)+LEN('Liste des effets'!$B$10)+1,SEARCH(",",H140,SEARCH('Liste des effets'!$B$10,H140))-(SEARCH('Liste des effets'!$B$10,H140)+LEN('Liste des effets'!$B$10)+1))),0)     +     IFERROR('Liste des effets'!$D$11*VALUE(MID(H140,SEARCH('Liste des effets'!$B$11,H140)+LEN('Liste des effets'!$B$11)+1,SEARCH(",",H140,SEARCH('Liste des effets'!$B$11,H140))-(SEARCH('Liste des effets'!$B$11,H140)+LEN('Liste des effets'!$B$11)+1))),0)     +     IFERROR('Liste des effets'!$D$12*VALUE(MID(H140,SEARCH('Liste des effets'!$B$12,H140)+LEN('Liste des effets'!$B$12)+1,SEARCH(",",H140,SEARCH('Liste des effets'!$B$12,H140))-(SEARCH('Liste des effets'!$B$12,H140)+LEN('Liste des effets'!$B$12)+1))),0)     +     IFERROR('Liste des effets'!$D$13*VALUE(MID(H140,SEARCH('Liste des effets'!$B$13,H140)+LEN('Liste des effets'!$B$13)+1,SEARCH(",",H140,SEARCH('Liste des effets'!$B$13,H140))-(SEARCH('Liste des effets'!$B$13,H140)+LEN('Liste des effets'!$B$13)+1))),0)     +     IFERROR('Liste des effets'!$D$14*VALUE(MID(H140,SEARCH('Liste des effets'!$B$14,H140)+LEN('Liste des effets'!$B$14)+1,SEARCH(",",H140,SEARCH('Liste des effets'!$B$14,H140))-(SEARCH('Liste des effets'!$B$14,H140)+LEN('Liste des effets'!$B$14)+1))),0)     +     IFERROR('Liste des effets'!$D$15*VALUE(MID(H140,SEARCH('Liste des effets'!$B$15,H140)+LEN('Liste des effets'!$B$15)+1,SEARCH(",",H140,SEARCH('Liste des effets'!$B$15,H140))-(SEARCH('Liste des effets'!$B$15,H140)+LEN('Liste des effets'!$B$15)+1))),0)     +     'Liste des effets'!$D$16*IF(IFERROR(SEARCH('Liste des effets'!$B$16,H140),0)&gt;0,1,0)     +     'Liste des effets'!$D$17*IF(IFERROR(SEARCH('Liste des effets'!$B$17,H140),0)&gt;0,1,0)     +     'Liste des effets'!$D$18*IF(IFERROR(SEARCH('Liste des effets'!$B$18,H140),0)&gt;0,1,0)     +     'Liste des effets'!$D$19*IF(IFERROR(SEARCH('Liste des effets'!$B$19,H140),0)&gt;0,1,0)      +     IF(IFERROR(SEARCH('Liste des effets'!$B$20,H140),0)&gt;0,1,0)    *     IF(H138='Equilibrage de base des sorts'!$B$5,'Equilibrage de base des sorts'!$C$9,0)      +     IF(IFERROR(SEARCH('Liste des effets'!$B$20,H140),0)&gt;0,1,0)    *     IF(H138='Equilibrage de base des sorts'!$B$10,'Equilibrage de base des sorts'!$C$14,0)      +     IF(IFERROR(SEARCH('Liste des effets'!$B$20,H140),0)&gt;0,1,0)    *     IF(H138='Equilibrage de base des sorts'!$B$15,'Equilibrage de base des sorts'!$C$19,0)      +     IF(IFERROR(SEARCH('Liste des effets'!$B$20,H140),0)&gt;0,1,0)    *     IF(H138='Equilibrage de base des sorts'!$B$20,'Equilibrage de base des sorts'!$C$24,0)</f>
        <v>5</v>
      </c>
      <c r="N141" s="25"/>
      <c r="O141" s="26"/>
      <c r="Q141" s="15" t="s">
        <v>52</v>
      </c>
      <c r="R141" s="15">
        <f>IFERROR('Liste des effets'!$D$5*VALUE(MID(N140,SEARCH('Liste des effets'!$B$5,N140)+LEN('Liste des effets'!$B$5)+1,SEARCH(",",N140,SEARCH('Liste des effets'!$B$5,N140))-(SEARCH('Liste des effets'!$B$5,N140)+LEN('Liste des effets'!$B$5)+1))),0)     +     IFERROR('Liste des effets'!$D$6*VALUE(MID(N140,SEARCH('Liste des effets'!$B$6,N140)+LEN('Liste des effets'!$B$6)+1,SEARCH(",",N140,SEARCH('Liste des effets'!$B$6,N140))-(SEARCH('Liste des effets'!$B$6,N140)+LEN('Liste des effets'!$B$6)+1))),0)     +     IFERROR('Liste des effets'!$D$7*VALUE(MID(N140,SEARCH('Liste des effets'!$B$7,N140)+LEN('Liste des effets'!$B$7)+1,SEARCH(",",N140,SEARCH('Liste des effets'!$B$7,N140))-(SEARCH('Liste des effets'!$B$7,N140)+LEN('Liste des effets'!$B$7)+1))),0)     +     IFERROR('Liste des effets'!$D$8*VALUE(MID(N140,SEARCH('Liste des effets'!$B$8,N140)+LEN('Liste des effets'!$B$8)+1,SEARCH(",",N140,SEARCH('Liste des effets'!$B$8,N140))-(SEARCH('Liste des effets'!$B$8,N140)+LEN('Liste des effets'!$B$8)+1))),0)     +     IFERROR('Liste des effets'!$D$9*VALUE(MID(N140,SEARCH('Liste des effets'!$B$9,N140)+LEN('Liste des effets'!$B$9)+1,SEARCH(",",N140,SEARCH('Liste des effets'!$B$9,N140))-(SEARCH('Liste des effets'!$B$9,N140)+LEN('Liste des effets'!$B$9)+1))),0)     +     IFERROR('Liste des effets'!$D$10*VALUE(MID(N140,SEARCH('Liste des effets'!$B$10,N140)+LEN('Liste des effets'!$B$10)+1,SEARCH(",",N140,SEARCH('Liste des effets'!$B$10,N140))-(SEARCH('Liste des effets'!$B$10,N140)+LEN('Liste des effets'!$B$10)+1))),0)     +     IFERROR('Liste des effets'!$D$11*VALUE(MID(N140,SEARCH('Liste des effets'!$B$11,N140)+LEN('Liste des effets'!$B$11)+1,SEARCH(",",N140,SEARCH('Liste des effets'!$B$11,N140))-(SEARCH('Liste des effets'!$B$11,N140)+LEN('Liste des effets'!$B$11)+1))),0)     +     IFERROR('Liste des effets'!$D$12*VALUE(MID(N140,SEARCH('Liste des effets'!$B$12,N140)+LEN('Liste des effets'!$B$12)+1,SEARCH(",",N140,SEARCH('Liste des effets'!$B$12,N140))-(SEARCH('Liste des effets'!$B$12,N140)+LEN('Liste des effets'!$B$12)+1))),0)     +     IFERROR('Liste des effets'!$D$13*VALUE(MID(N140,SEARCH('Liste des effets'!$B$13,N140)+LEN('Liste des effets'!$B$13)+1,SEARCH(",",N140,SEARCH('Liste des effets'!$B$13,N140))-(SEARCH('Liste des effets'!$B$13,N140)+LEN('Liste des effets'!$B$13)+1))),0)     +     IFERROR('Liste des effets'!$D$14*VALUE(MID(N140,SEARCH('Liste des effets'!$B$14,N140)+LEN('Liste des effets'!$B$14)+1,SEARCH(",",N140,SEARCH('Liste des effets'!$B$14,N140))-(SEARCH('Liste des effets'!$B$14,N140)+LEN('Liste des effets'!$B$14)+1))),0)     +     IFERROR('Liste des effets'!$D$15*VALUE(MID(N140,SEARCH('Liste des effets'!$B$15,N140)+LEN('Liste des effets'!$B$15)+1,SEARCH(",",N140,SEARCH('Liste des effets'!$B$15,N140))-(SEARCH('Liste des effets'!$B$15,N140)+LEN('Liste des effets'!$B$15)+1))),0)     +     'Liste des effets'!$D$16*IF(IFERROR(SEARCH('Liste des effets'!$B$16,N140),0)&gt;0,1,0)     +     'Liste des effets'!$D$17*IF(IFERROR(SEARCH('Liste des effets'!$B$17,N140),0)&gt;0,1,0)     +     'Liste des effets'!$D$18*IF(IFERROR(SEARCH('Liste des effets'!$B$18,N140),0)&gt;0,1,0)     +     'Liste des effets'!$D$19*IF(IFERROR(SEARCH('Liste des effets'!$B$19,N140),0)&gt;0,1,0)      +     IF(IFERROR(SEARCH('Liste des effets'!$B$20,N140),0)&gt;0,1,0)    *     IF(N138='Equilibrage de base des sorts'!$B$5,'Equilibrage de base des sorts'!$C$9,0)      +     IF(IFERROR(SEARCH('Liste des effets'!$B$20,N140),0)&gt;0,1,0)    *     IF(N138='Equilibrage de base des sorts'!$B$10,'Equilibrage de base des sorts'!$C$14,0)      +     IF(IFERROR(SEARCH('Liste des effets'!$B$20,N140),0)&gt;0,1,0)    *     IF(N138='Equilibrage de base des sorts'!$B$15,'Equilibrage de base des sorts'!$C$19,0)      +     IF(IFERROR(SEARCH('Liste des effets'!$B$20,N140),0)&gt;0,1,0)    *     IF(N138='Equilibrage de base des sorts'!$B$20,'Equilibrage de base des sorts'!$C$24,0)</f>
        <v>10</v>
      </c>
    </row>
    <row r="142" spans="2:18" x14ac:dyDescent="0.25">
      <c r="B142" s="25"/>
      <c r="C142" s="26"/>
      <c r="E142" s="2" t="s">
        <v>53</v>
      </c>
      <c r="F142" s="2">
        <f>F139+F140+F141</f>
        <v>10</v>
      </c>
      <c r="H142" s="25"/>
      <c r="I142" s="26"/>
      <c r="K142" s="2" t="s">
        <v>53</v>
      </c>
      <c r="L142" s="2">
        <f>L139+L140+L141</f>
        <v>10</v>
      </c>
      <c r="N142" s="25"/>
      <c r="O142" s="26"/>
      <c r="Q142" s="2" t="s">
        <v>53</v>
      </c>
      <c r="R142" s="2">
        <f>R139+R140+R141</f>
        <v>10</v>
      </c>
    </row>
    <row r="143" spans="2:18" ht="15.75" thickBot="1" x14ac:dyDescent="0.3">
      <c r="B143" s="27"/>
      <c r="C143" s="28"/>
      <c r="H143" s="27"/>
      <c r="I143" s="28"/>
      <c r="N143" s="27"/>
      <c r="O143" s="28"/>
    </row>
    <row r="145" spans="2:6" ht="18" thickBot="1" x14ac:dyDescent="0.35">
      <c r="B145" s="48" t="s">
        <v>175</v>
      </c>
      <c r="C145" s="48"/>
    </row>
    <row r="146" spans="2:6" ht="16.5" thickTop="1" thickBot="1" x14ac:dyDescent="0.3"/>
    <row r="147" spans="2:6" ht="18.75" x14ac:dyDescent="0.25">
      <c r="B147" s="19" t="s">
        <v>193</v>
      </c>
      <c r="C147" s="20"/>
    </row>
    <row r="148" spans="2:6" x14ac:dyDescent="0.25">
      <c r="B148" s="9" t="s">
        <v>44</v>
      </c>
      <c r="C148" s="10" t="s">
        <v>125</v>
      </c>
      <c r="E148" s="21" t="s">
        <v>54</v>
      </c>
      <c r="F148" s="22"/>
    </row>
    <row r="149" spans="2:6" ht="15.75" thickBot="1" x14ac:dyDescent="0.3">
      <c r="B149" s="9">
        <v>1</v>
      </c>
      <c r="C149" s="14">
        <v>0</v>
      </c>
      <c r="E149" t="s">
        <v>37</v>
      </c>
      <c r="F149">
        <f>IF(B148='Equilibrage de base des sorts'!$B$5,'Equilibrage de base des sorts'!$C$7-B149,0)*'Equilibrage de base des sorts'!$C$8    +    IF(B148='Equilibrage de base des sorts'!$B$10,'Equilibrage de base des sorts'!$C$12-B149,0)*'Equilibrage de base des sorts'!$C$13    +    IF(B148='Equilibrage de base des sorts'!$B$15,'Equilibrage de base des sorts'!$C$17-B149,0)*'Equilibrage de base des sorts'!$C$18    +    IF(B148='Equilibrage de base des sorts'!$B$20,'Equilibrage de base des sorts'!$C$22-B149,0)*'Equilibrage de base des sorts'!$C$23</f>
        <v>12</v>
      </c>
    </row>
    <row r="150" spans="2:6" x14ac:dyDescent="0.25">
      <c r="B150" s="23" t="s">
        <v>194</v>
      </c>
      <c r="C150" s="24"/>
      <c r="E150" t="s">
        <v>51</v>
      </c>
      <c r="F150">
        <f>-C149*5</f>
        <v>0</v>
      </c>
    </row>
    <row r="151" spans="2:6" x14ac:dyDescent="0.25">
      <c r="B151" s="25"/>
      <c r="C151" s="26"/>
      <c r="E151" s="15" t="s">
        <v>52</v>
      </c>
      <c r="F151" s="15">
        <f>IFERROR('Liste des effets'!$D$5*VALUE(MID(B150,SEARCH('Liste des effets'!$B$5,B150)+LEN('Liste des effets'!$B$5)+1,SEARCH(",",B150,SEARCH('Liste des effets'!$B$5,B150))-(SEARCH('Liste des effets'!$B$5,B150)+LEN('Liste des effets'!$B$5)+1))),0)     +     IFERROR('Liste des effets'!$D$6*VALUE(MID(B150,SEARCH('Liste des effets'!$B$6,B150)+LEN('Liste des effets'!$B$6)+1,SEARCH(",",B150,SEARCH('Liste des effets'!$B$6,B150))-(SEARCH('Liste des effets'!$B$6,B150)+LEN('Liste des effets'!$B$6)+1))),0)     +     IFERROR('Liste des effets'!$D$7*VALUE(MID(B150,SEARCH('Liste des effets'!$B$7,B150)+LEN('Liste des effets'!$B$7)+1,SEARCH(",",B150,SEARCH('Liste des effets'!$B$7,B150))-(SEARCH('Liste des effets'!$B$7,B150)+LEN('Liste des effets'!$B$7)+1))),0)     +     IFERROR('Liste des effets'!$D$8*VALUE(MID(B150,SEARCH('Liste des effets'!$B$8,B150)+LEN('Liste des effets'!$B$8)+1,SEARCH(",",B150,SEARCH('Liste des effets'!$B$8,B150))-(SEARCH('Liste des effets'!$B$8,B150)+LEN('Liste des effets'!$B$8)+1))),0)     +     IFERROR('Liste des effets'!$D$9*VALUE(MID(B150,SEARCH('Liste des effets'!$B$9,B150)+LEN('Liste des effets'!$B$9)+1,SEARCH(",",B150,SEARCH('Liste des effets'!$B$9,B150))-(SEARCH('Liste des effets'!$B$9,B150)+LEN('Liste des effets'!$B$9)+1))),0)     +     IFERROR('Liste des effets'!$D$10*VALUE(MID(B150,SEARCH('Liste des effets'!$B$10,B150)+LEN('Liste des effets'!$B$10)+1,SEARCH(",",B150,SEARCH('Liste des effets'!$B$10,B150))-(SEARCH('Liste des effets'!$B$10,B150)+LEN('Liste des effets'!$B$10)+1))),0)     +     IFERROR('Liste des effets'!$D$11*VALUE(MID(B150,SEARCH('Liste des effets'!$B$11,B150)+LEN('Liste des effets'!$B$11)+1,SEARCH(",",B150,SEARCH('Liste des effets'!$B$11,B150))-(SEARCH('Liste des effets'!$B$11,B150)+LEN('Liste des effets'!$B$11)+1))),0)     +     IFERROR('Liste des effets'!$D$12*VALUE(MID(B150,SEARCH('Liste des effets'!$B$12,B150)+LEN('Liste des effets'!$B$12)+1,SEARCH(",",B150,SEARCH('Liste des effets'!$B$12,B150))-(SEARCH('Liste des effets'!$B$12,B150)+LEN('Liste des effets'!$B$12)+1))),0)     +     IFERROR('Liste des effets'!$D$13*VALUE(MID(B150,SEARCH('Liste des effets'!$B$13,B150)+LEN('Liste des effets'!$B$13)+1,SEARCH(",",B150,SEARCH('Liste des effets'!$B$13,B150))-(SEARCH('Liste des effets'!$B$13,B150)+LEN('Liste des effets'!$B$13)+1))),0)     +     IFERROR('Liste des effets'!$D$14*VALUE(MID(B150,SEARCH('Liste des effets'!$B$14,B150)+LEN('Liste des effets'!$B$14)+1,SEARCH(",",B150,SEARCH('Liste des effets'!$B$14,B150))-(SEARCH('Liste des effets'!$B$14,B150)+LEN('Liste des effets'!$B$14)+1))),0)     +     IFERROR('Liste des effets'!$D$15*VALUE(MID(B150,SEARCH('Liste des effets'!$B$15,B150)+LEN('Liste des effets'!$B$15)+1,SEARCH(",",B150,SEARCH('Liste des effets'!$B$15,B150))-(SEARCH('Liste des effets'!$B$15,B150)+LEN('Liste des effets'!$B$15)+1))),0)     +     'Liste des effets'!$D$16*IF(IFERROR(SEARCH('Liste des effets'!$B$16,B150),0)&gt;0,1,0)     +     'Liste des effets'!$D$17*IF(IFERROR(SEARCH('Liste des effets'!$B$17,B150),0)&gt;0,1,0)     +     'Liste des effets'!$D$18*IF(IFERROR(SEARCH('Liste des effets'!$B$18,B150),0)&gt;0,1,0)     +     'Liste des effets'!$D$19*IF(IFERROR(SEARCH('Liste des effets'!$B$19,B150),0)&gt;0,1,0)      +     IF(IFERROR(SEARCH('Liste des effets'!$B$20,B150),0)&gt;0,1,0)    *     IF(B148='Equilibrage de base des sorts'!$B$5,'Equilibrage de base des sorts'!$C$9,0)      +     IF(IFERROR(SEARCH('Liste des effets'!$B$20,B150),0)&gt;0,1,0)    *     IF(B148='Equilibrage de base des sorts'!$B$10,'Equilibrage de base des sorts'!$C$14,0)      +     IF(IFERROR(SEARCH('Liste des effets'!$B$20,B150),0)&gt;0,1,0)    *     IF(B148='Equilibrage de base des sorts'!$B$15,'Equilibrage de base des sorts'!$C$19,0)      +     IF(IFERROR(SEARCH('Liste des effets'!$B$20,B150),0)&gt;0,1,0)    *     IF(B148='Equilibrage de base des sorts'!$B$20,'Equilibrage de base des sorts'!$C$24,0)</f>
        <v>7.5</v>
      </c>
    </row>
    <row r="152" spans="2:6" x14ac:dyDescent="0.25">
      <c r="B152" s="25"/>
      <c r="C152" s="26"/>
      <c r="E152" s="2" t="s">
        <v>53</v>
      </c>
      <c r="F152" s="2">
        <f>F149+F150+F151</f>
        <v>19.5</v>
      </c>
    </row>
    <row r="153" spans="2:6" ht="15.75" thickBot="1" x14ac:dyDescent="0.3">
      <c r="B153" s="27"/>
      <c r="C153" s="28"/>
    </row>
    <row r="154" spans="2:6" ht="15.75" thickBot="1" x14ac:dyDescent="0.3"/>
    <row r="155" spans="2:6" ht="18.75" x14ac:dyDescent="0.25">
      <c r="B155" s="19" t="s">
        <v>215</v>
      </c>
      <c r="C155" s="20"/>
    </row>
    <row r="156" spans="2:6" x14ac:dyDescent="0.25">
      <c r="B156" s="9" t="s">
        <v>48</v>
      </c>
      <c r="C156" s="10" t="s">
        <v>125</v>
      </c>
      <c r="E156" s="21" t="s">
        <v>54</v>
      </c>
      <c r="F156" s="22"/>
    </row>
    <row r="157" spans="2:6" ht="15.75" thickBot="1" x14ac:dyDescent="0.3">
      <c r="B157" s="9">
        <v>5</v>
      </c>
      <c r="C157" s="14">
        <v>5</v>
      </c>
      <c r="E157" t="s">
        <v>37</v>
      </c>
      <c r="F157">
        <f>IF(B156='Equilibrage de base des sorts'!$B$5,'Equilibrage de base des sorts'!$C$7-B157,0)*'Equilibrage de base des sorts'!$C$8    +    IF(B156='Equilibrage de base des sorts'!$B$10,'Equilibrage de base des sorts'!$C$12-B157,0)*'Equilibrage de base des sorts'!$C$13    +    IF(B156='Equilibrage de base des sorts'!$B$15,'Equilibrage de base des sorts'!$C$17-B157,0)*'Equilibrage de base des sorts'!$C$18    +    IF(B156='Equilibrage de base des sorts'!$B$20,'Equilibrage de base des sorts'!$C$22-B157,0)*'Equilibrage de base des sorts'!$C$23</f>
        <v>-4</v>
      </c>
    </row>
    <row r="158" spans="2:6" x14ac:dyDescent="0.25">
      <c r="B158" s="23" t="s">
        <v>195</v>
      </c>
      <c r="C158" s="24"/>
      <c r="E158" t="s">
        <v>51</v>
      </c>
      <c r="F158">
        <f>-C157*5</f>
        <v>-25</v>
      </c>
    </row>
    <row r="159" spans="2:6" x14ac:dyDescent="0.25">
      <c r="B159" s="25"/>
      <c r="C159" s="26"/>
      <c r="E159" s="15" t="s">
        <v>52</v>
      </c>
      <c r="F159" s="15">
        <f>IFERROR('Liste des effets'!$D$5*VALUE(MID(B158,SEARCH('Liste des effets'!$B$5,B158)+LEN('Liste des effets'!$B$5)+1,SEARCH(",",B158,SEARCH('Liste des effets'!$B$5,B158))-(SEARCH('Liste des effets'!$B$5,B158)+LEN('Liste des effets'!$B$5)+1))),0)     +     IFERROR('Liste des effets'!$D$6*VALUE(MID(B158,SEARCH('Liste des effets'!$B$6,B158)+LEN('Liste des effets'!$B$6)+1,SEARCH(",",B158,SEARCH('Liste des effets'!$B$6,B158))-(SEARCH('Liste des effets'!$B$6,B158)+LEN('Liste des effets'!$B$6)+1))),0)     +     IFERROR('Liste des effets'!$D$7*VALUE(MID(B158,SEARCH('Liste des effets'!$B$7,B158)+LEN('Liste des effets'!$B$7)+1,SEARCH(",",B158,SEARCH('Liste des effets'!$B$7,B158))-(SEARCH('Liste des effets'!$B$7,B158)+LEN('Liste des effets'!$B$7)+1))),0)     +     IFERROR('Liste des effets'!$D$8*VALUE(MID(B158,SEARCH('Liste des effets'!$B$8,B158)+LEN('Liste des effets'!$B$8)+1,SEARCH(",",B158,SEARCH('Liste des effets'!$B$8,B158))-(SEARCH('Liste des effets'!$B$8,B158)+LEN('Liste des effets'!$B$8)+1))),0)     +     IFERROR('Liste des effets'!$D$9*VALUE(MID(B158,SEARCH('Liste des effets'!$B$9,B158)+LEN('Liste des effets'!$B$9)+1,SEARCH(",",B158,SEARCH('Liste des effets'!$B$9,B158))-(SEARCH('Liste des effets'!$B$9,B158)+LEN('Liste des effets'!$B$9)+1))),0)     +     IFERROR('Liste des effets'!$D$10*VALUE(MID(B158,SEARCH('Liste des effets'!$B$10,B158)+LEN('Liste des effets'!$B$10)+1,SEARCH(",",B158,SEARCH('Liste des effets'!$B$10,B158))-(SEARCH('Liste des effets'!$B$10,B158)+LEN('Liste des effets'!$B$10)+1))),0)     +     IFERROR('Liste des effets'!$D$11*VALUE(MID(B158,SEARCH('Liste des effets'!$B$11,B158)+LEN('Liste des effets'!$B$11)+1,SEARCH(",",B158,SEARCH('Liste des effets'!$B$11,B158))-(SEARCH('Liste des effets'!$B$11,B158)+LEN('Liste des effets'!$B$11)+1))),0)     +     IFERROR('Liste des effets'!$D$12*VALUE(MID(B158,SEARCH('Liste des effets'!$B$12,B158)+LEN('Liste des effets'!$B$12)+1,SEARCH(",",B158,SEARCH('Liste des effets'!$B$12,B158))-(SEARCH('Liste des effets'!$B$12,B158)+LEN('Liste des effets'!$B$12)+1))),0)     +     IFERROR('Liste des effets'!$D$13*VALUE(MID(B158,SEARCH('Liste des effets'!$B$13,B158)+LEN('Liste des effets'!$B$13)+1,SEARCH(",",B158,SEARCH('Liste des effets'!$B$13,B158))-(SEARCH('Liste des effets'!$B$13,B158)+LEN('Liste des effets'!$B$13)+1))),0)     +     IFERROR('Liste des effets'!$D$14*VALUE(MID(B158,SEARCH('Liste des effets'!$B$14,B158)+LEN('Liste des effets'!$B$14)+1,SEARCH(",",B158,SEARCH('Liste des effets'!$B$14,B158))-(SEARCH('Liste des effets'!$B$14,B158)+LEN('Liste des effets'!$B$14)+1))),0)     +     IFERROR('Liste des effets'!$D$15*VALUE(MID(B158,SEARCH('Liste des effets'!$B$15,B158)+LEN('Liste des effets'!$B$15)+1,SEARCH(",",B158,SEARCH('Liste des effets'!$B$15,B158))-(SEARCH('Liste des effets'!$B$15,B158)+LEN('Liste des effets'!$B$15)+1))),0)     +     'Liste des effets'!$D$16*IF(IFERROR(SEARCH('Liste des effets'!$B$16,B158),0)&gt;0,1,0)     +     'Liste des effets'!$D$17*IF(IFERROR(SEARCH('Liste des effets'!$B$17,B158),0)&gt;0,1,0)     +     'Liste des effets'!$D$18*IF(IFERROR(SEARCH('Liste des effets'!$B$18,B158),0)&gt;0,1,0)     +     'Liste des effets'!$D$19*IF(IFERROR(SEARCH('Liste des effets'!$B$19,B158),0)&gt;0,1,0)      +     IF(IFERROR(SEARCH('Liste des effets'!$B$20,B158),0)&gt;0,1,0)    *     IF(B156='Equilibrage de base des sorts'!$B$5,'Equilibrage de base des sorts'!$C$9,0)      +     IF(IFERROR(SEARCH('Liste des effets'!$B$20,B158),0)&gt;0,1,0)    *     IF(B156='Equilibrage de base des sorts'!$B$10,'Equilibrage de base des sorts'!$C$14,0)      +     IF(IFERROR(SEARCH('Liste des effets'!$B$20,B158),0)&gt;0,1,0)    *     IF(B156='Equilibrage de base des sorts'!$B$15,'Equilibrage de base des sorts'!$C$19,0)      +     IF(IFERROR(SEARCH('Liste des effets'!$B$20,B158),0)&gt;0,1,0)    *     IF(B156='Equilibrage de base des sorts'!$B$20,'Equilibrage de base des sorts'!$C$24,0)</f>
        <v>50</v>
      </c>
    </row>
    <row r="160" spans="2:6" x14ac:dyDescent="0.25">
      <c r="B160" s="25"/>
      <c r="C160" s="26"/>
      <c r="E160" s="2" t="s">
        <v>53</v>
      </c>
      <c r="F160" s="2">
        <f>F157+F158+F159</f>
        <v>21</v>
      </c>
    </row>
    <row r="161" spans="2:6" ht="15.75" thickBot="1" x14ac:dyDescent="0.3">
      <c r="B161" s="27"/>
      <c r="C161" s="28"/>
    </row>
    <row r="162" spans="2:6" ht="15.75" thickBot="1" x14ac:dyDescent="0.3"/>
    <row r="163" spans="2:6" ht="18.75" x14ac:dyDescent="0.25">
      <c r="B163" s="19" t="s">
        <v>196</v>
      </c>
      <c r="C163" s="20"/>
    </row>
    <row r="164" spans="2:6" x14ac:dyDescent="0.25">
      <c r="B164" s="9" t="s">
        <v>49</v>
      </c>
      <c r="C164" s="10" t="s">
        <v>125</v>
      </c>
      <c r="E164" s="21" t="s">
        <v>54</v>
      </c>
      <c r="F164" s="22"/>
    </row>
    <row r="165" spans="2:6" ht="15.75" thickBot="1" x14ac:dyDescent="0.3">
      <c r="B165" s="9">
        <v>2</v>
      </c>
      <c r="C165" s="14">
        <v>2</v>
      </c>
      <c r="E165" t="s">
        <v>37</v>
      </c>
      <c r="F165">
        <f>IF(B164='Equilibrage de base des sorts'!$B$5,'Equilibrage de base des sorts'!$C$7-B165,0)*'Equilibrage de base des sorts'!$C$8    +    IF(B164='Equilibrage de base des sorts'!$B$10,'Equilibrage de base des sorts'!$C$12-B165,0)*'Equilibrage de base des sorts'!$C$13    +    IF(B164='Equilibrage de base des sorts'!$B$15,'Equilibrage de base des sorts'!$C$17-B165,0)*'Equilibrage de base des sorts'!$C$18    +    IF(B164='Equilibrage de base des sorts'!$B$20,'Equilibrage de base des sorts'!$C$22-B165,0)*'Equilibrage de base des sorts'!$C$23</f>
        <v>8</v>
      </c>
    </row>
    <row r="166" spans="2:6" x14ac:dyDescent="0.25">
      <c r="B166" s="23" t="s">
        <v>121</v>
      </c>
      <c r="C166" s="24"/>
      <c r="E166" t="s">
        <v>51</v>
      </c>
      <c r="F166">
        <f>-C165*5</f>
        <v>-10</v>
      </c>
    </row>
    <row r="167" spans="2:6" x14ac:dyDescent="0.25">
      <c r="B167" s="25"/>
      <c r="C167" s="26"/>
      <c r="E167" s="15" t="s">
        <v>52</v>
      </c>
      <c r="F167" s="15">
        <f>IFERROR('Liste des effets'!$D$5*VALUE(MID(B166,SEARCH('Liste des effets'!$B$5,B166)+LEN('Liste des effets'!$B$5)+1,SEARCH(",",B166,SEARCH('Liste des effets'!$B$5,B166))-(SEARCH('Liste des effets'!$B$5,B166)+LEN('Liste des effets'!$B$5)+1))),0)     +     IFERROR('Liste des effets'!$D$6*VALUE(MID(B166,SEARCH('Liste des effets'!$B$6,B166)+LEN('Liste des effets'!$B$6)+1,SEARCH(",",B166,SEARCH('Liste des effets'!$B$6,B166))-(SEARCH('Liste des effets'!$B$6,B166)+LEN('Liste des effets'!$B$6)+1))),0)     +     IFERROR('Liste des effets'!$D$7*VALUE(MID(B166,SEARCH('Liste des effets'!$B$7,B166)+LEN('Liste des effets'!$B$7)+1,SEARCH(",",B166,SEARCH('Liste des effets'!$B$7,B166))-(SEARCH('Liste des effets'!$B$7,B166)+LEN('Liste des effets'!$B$7)+1))),0)     +     IFERROR('Liste des effets'!$D$8*VALUE(MID(B166,SEARCH('Liste des effets'!$B$8,B166)+LEN('Liste des effets'!$B$8)+1,SEARCH(",",B166,SEARCH('Liste des effets'!$B$8,B166))-(SEARCH('Liste des effets'!$B$8,B166)+LEN('Liste des effets'!$B$8)+1))),0)     +     IFERROR('Liste des effets'!$D$9*VALUE(MID(B166,SEARCH('Liste des effets'!$B$9,B166)+LEN('Liste des effets'!$B$9)+1,SEARCH(",",B166,SEARCH('Liste des effets'!$B$9,B166))-(SEARCH('Liste des effets'!$B$9,B166)+LEN('Liste des effets'!$B$9)+1))),0)     +     IFERROR('Liste des effets'!$D$10*VALUE(MID(B166,SEARCH('Liste des effets'!$B$10,B166)+LEN('Liste des effets'!$B$10)+1,SEARCH(",",B166,SEARCH('Liste des effets'!$B$10,B166))-(SEARCH('Liste des effets'!$B$10,B166)+LEN('Liste des effets'!$B$10)+1))),0)     +     IFERROR('Liste des effets'!$D$11*VALUE(MID(B166,SEARCH('Liste des effets'!$B$11,B166)+LEN('Liste des effets'!$B$11)+1,SEARCH(",",B166,SEARCH('Liste des effets'!$B$11,B166))-(SEARCH('Liste des effets'!$B$11,B166)+LEN('Liste des effets'!$B$11)+1))),0)     +     IFERROR('Liste des effets'!$D$12*VALUE(MID(B166,SEARCH('Liste des effets'!$B$12,B166)+LEN('Liste des effets'!$B$12)+1,SEARCH(",",B166,SEARCH('Liste des effets'!$B$12,B166))-(SEARCH('Liste des effets'!$B$12,B166)+LEN('Liste des effets'!$B$12)+1))),0)     +     IFERROR('Liste des effets'!$D$13*VALUE(MID(B166,SEARCH('Liste des effets'!$B$13,B166)+LEN('Liste des effets'!$B$13)+1,SEARCH(",",B166,SEARCH('Liste des effets'!$B$13,B166))-(SEARCH('Liste des effets'!$B$13,B166)+LEN('Liste des effets'!$B$13)+1))),0)     +     IFERROR('Liste des effets'!$D$14*VALUE(MID(B166,SEARCH('Liste des effets'!$B$14,B166)+LEN('Liste des effets'!$B$14)+1,SEARCH(",",B166,SEARCH('Liste des effets'!$B$14,B166))-(SEARCH('Liste des effets'!$B$14,B166)+LEN('Liste des effets'!$B$14)+1))),0)     +     IFERROR('Liste des effets'!$D$15*VALUE(MID(B166,SEARCH('Liste des effets'!$B$15,B166)+LEN('Liste des effets'!$B$15)+1,SEARCH(",",B166,SEARCH('Liste des effets'!$B$15,B166))-(SEARCH('Liste des effets'!$B$15,B166)+LEN('Liste des effets'!$B$15)+1))),0)     +     'Liste des effets'!$D$16*IF(IFERROR(SEARCH('Liste des effets'!$B$16,B166),0)&gt;0,1,0)     +     'Liste des effets'!$D$17*IF(IFERROR(SEARCH('Liste des effets'!$B$17,B166),0)&gt;0,1,0)     +     'Liste des effets'!$D$18*IF(IFERROR(SEARCH('Liste des effets'!$B$18,B166),0)&gt;0,1,0)     +     'Liste des effets'!$D$19*IF(IFERROR(SEARCH('Liste des effets'!$B$19,B166),0)&gt;0,1,0)      +     IF(IFERROR(SEARCH('Liste des effets'!$B$20,B166),0)&gt;0,1,0)    *     IF(B164='Equilibrage de base des sorts'!$B$5,'Equilibrage de base des sorts'!$C$9,0)      +     IF(IFERROR(SEARCH('Liste des effets'!$B$20,B166),0)&gt;0,1,0)    *     IF(B164='Equilibrage de base des sorts'!$B$10,'Equilibrage de base des sorts'!$C$14,0)      +     IF(IFERROR(SEARCH('Liste des effets'!$B$20,B166),0)&gt;0,1,0)    *     IF(B164='Equilibrage de base des sorts'!$B$15,'Equilibrage de base des sorts'!$C$19,0)      +     IF(IFERROR(SEARCH('Liste des effets'!$B$20,B166),0)&gt;0,1,0)    *     IF(B164='Equilibrage de base des sorts'!$B$20,'Equilibrage de base des sorts'!$C$24,0)</f>
        <v>20</v>
      </c>
    </row>
    <row r="168" spans="2:6" x14ac:dyDescent="0.25">
      <c r="B168" s="25"/>
      <c r="C168" s="26"/>
      <c r="E168" s="2" t="s">
        <v>53</v>
      </c>
      <c r="F168" s="2">
        <f>F165+F166+F167</f>
        <v>18</v>
      </c>
    </row>
    <row r="169" spans="2:6" ht="15.75" thickBot="1" x14ac:dyDescent="0.3">
      <c r="B169" s="27"/>
      <c r="C169" s="28"/>
    </row>
    <row r="170" spans="2:6" ht="15.75" thickBot="1" x14ac:dyDescent="0.3"/>
    <row r="171" spans="2:6" ht="18.75" x14ac:dyDescent="0.25">
      <c r="B171" s="19" t="s">
        <v>191</v>
      </c>
      <c r="C171" s="20"/>
    </row>
    <row r="172" spans="2:6" x14ac:dyDescent="0.25">
      <c r="B172" s="9" t="s">
        <v>50</v>
      </c>
      <c r="C172" s="10" t="s">
        <v>125</v>
      </c>
      <c r="E172" s="21" t="s">
        <v>54</v>
      </c>
      <c r="F172" s="22"/>
    </row>
    <row r="173" spans="2:6" ht="15.75" thickBot="1" x14ac:dyDescent="0.3">
      <c r="B173" s="9">
        <v>5</v>
      </c>
      <c r="C173" s="14">
        <v>1</v>
      </c>
      <c r="E173" t="s">
        <v>37</v>
      </c>
      <c r="F173">
        <f>IF(B172='Equilibrage de base des sorts'!$B$5,'Equilibrage de base des sorts'!$C$7-B173,0)*'Equilibrage de base des sorts'!$C$8    +    IF(B172='Equilibrage de base des sorts'!$B$10,'Equilibrage de base des sorts'!$C$12-B173,0)*'Equilibrage de base des sorts'!$C$13    +    IF(B172='Equilibrage de base des sorts'!$B$15,'Equilibrage de base des sorts'!$C$17-B173,0)*'Equilibrage de base des sorts'!$C$18    +    IF(B172='Equilibrage de base des sorts'!$B$20,'Equilibrage de base des sorts'!$C$22-B173,0)*'Equilibrage de base des sorts'!$C$23</f>
        <v>0</v>
      </c>
    </row>
    <row r="174" spans="2:6" x14ac:dyDescent="0.25">
      <c r="B174" s="23" t="s">
        <v>192</v>
      </c>
      <c r="C174" s="24"/>
      <c r="E174" t="s">
        <v>51</v>
      </c>
      <c r="F174">
        <f>-C173*5</f>
        <v>-5</v>
      </c>
    </row>
    <row r="175" spans="2:6" x14ac:dyDescent="0.25">
      <c r="B175" s="25"/>
      <c r="C175" s="26"/>
      <c r="E175" s="15" t="s">
        <v>52</v>
      </c>
      <c r="F175" s="15">
        <f>IFERROR('Liste des effets'!$D$5*VALUE(MID(B174,SEARCH('Liste des effets'!$B$5,B174)+LEN('Liste des effets'!$B$5)+1,SEARCH(",",B174,SEARCH('Liste des effets'!$B$5,B174))-(SEARCH('Liste des effets'!$B$5,B174)+LEN('Liste des effets'!$B$5)+1))),0)     +     IFERROR('Liste des effets'!$D$6*VALUE(MID(B174,SEARCH('Liste des effets'!$B$6,B174)+LEN('Liste des effets'!$B$6)+1,SEARCH(",",B174,SEARCH('Liste des effets'!$B$6,B174))-(SEARCH('Liste des effets'!$B$6,B174)+LEN('Liste des effets'!$B$6)+1))),0)     +     IFERROR('Liste des effets'!$D$7*VALUE(MID(B174,SEARCH('Liste des effets'!$B$7,B174)+LEN('Liste des effets'!$B$7)+1,SEARCH(",",B174,SEARCH('Liste des effets'!$B$7,B174))-(SEARCH('Liste des effets'!$B$7,B174)+LEN('Liste des effets'!$B$7)+1))),0)     +     IFERROR('Liste des effets'!$D$8*VALUE(MID(B174,SEARCH('Liste des effets'!$B$8,B174)+LEN('Liste des effets'!$B$8)+1,SEARCH(",",B174,SEARCH('Liste des effets'!$B$8,B174))-(SEARCH('Liste des effets'!$B$8,B174)+LEN('Liste des effets'!$B$8)+1))),0)     +     IFERROR('Liste des effets'!$D$9*VALUE(MID(B174,SEARCH('Liste des effets'!$B$9,B174)+LEN('Liste des effets'!$B$9)+1,SEARCH(",",B174,SEARCH('Liste des effets'!$B$9,B174))-(SEARCH('Liste des effets'!$B$9,B174)+LEN('Liste des effets'!$B$9)+1))),0)     +     IFERROR('Liste des effets'!$D$10*VALUE(MID(B174,SEARCH('Liste des effets'!$B$10,B174)+LEN('Liste des effets'!$B$10)+1,SEARCH(",",B174,SEARCH('Liste des effets'!$B$10,B174))-(SEARCH('Liste des effets'!$B$10,B174)+LEN('Liste des effets'!$B$10)+1))),0)     +     IFERROR('Liste des effets'!$D$11*VALUE(MID(B174,SEARCH('Liste des effets'!$B$11,B174)+LEN('Liste des effets'!$B$11)+1,SEARCH(",",B174,SEARCH('Liste des effets'!$B$11,B174))-(SEARCH('Liste des effets'!$B$11,B174)+LEN('Liste des effets'!$B$11)+1))),0)     +     IFERROR('Liste des effets'!$D$12*VALUE(MID(B174,SEARCH('Liste des effets'!$B$12,B174)+LEN('Liste des effets'!$B$12)+1,SEARCH(",",B174,SEARCH('Liste des effets'!$B$12,B174))-(SEARCH('Liste des effets'!$B$12,B174)+LEN('Liste des effets'!$B$12)+1))),0)     +     IFERROR('Liste des effets'!$D$13*VALUE(MID(B174,SEARCH('Liste des effets'!$B$13,B174)+LEN('Liste des effets'!$B$13)+1,SEARCH(",",B174,SEARCH('Liste des effets'!$B$13,B174))-(SEARCH('Liste des effets'!$B$13,B174)+LEN('Liste des effets'!$B$13)+1))),0)     +     IFERROR('Liste des effets'!$D$14*VALUE(MID(B174,SEARCH('Liste des effets'!$B$14,B174)+LEN('Liste des effets'!$B$14)+1,SEARCH(",",B174,SEARCH('Liste des effets'!$B$14,B174))-(SEARCH('Liste des effets'!$B$14,B174)+LEN('Liste des effets'!$B$14)+1))),0)     +     IFERROR('Liste des effets'!$D$15*VALUE(MID(B174,SEARCH('Liste des effets'!$B$15,B174)+LEN('Liste des effets'!$B$15)+1,SEARCH(",",B174,SEARCH('Liste des effets'!$B$15,B174))-(SEARCH('Liste des effets'!$B$15,B174)+LEN('Liste des effets'!$B$15)+1))),0)     +     'Liste des effets'!$D$16*IF(IFERROR(SEARCH('Liste des effets'!$B$16,B174),0)&gt;0,1,0)     +     'Liste des effets'!$D$17*IF(IFERROR(SEARCH('Liste des effets'!$B$17,B174),0)&gt;0,1,0)     +     'Liste des effets'!$D$18*IF(IFERROR(SEARCH('Liste des effets'!$B$18,B174),0)&gt;0,1,0)     +     'Liste des effets'!$D$19*IF(IFERROR(SEARCH('Liste des effets'!$B$19,B174),0)&gt;0,1,0)      +     IF(IFERROR(SEARCH('Liste des effets'!$B$20,B174),0)&gt;0,1,0)    *     IF(B172='Equilibrage de base des sorts'!$B$5,'Equilibrage de base des sorts'!$C$9,0)      +     IF(IFERROR(SEARCH('Liste des effets'!$B$20,B174),0)&gt;0,1,0)    *     IF(B172='Equilibrage de base des sorts'!$B$10,'Equilibrage de base des sorts'!$C$14,0)      +     IF(IFERROR(SEARCH('Liste des effets'!$B$20,B174),0)&gt;0,1,0)    *     IF(B172='Equilibrage de base des sorts'!$B$15,'Equilibrage de base des sorts'!$C$19,0)      +     IF(IFERROR(SEARCH('Liste des effets'!$B$20,B174),0)&gt;0,1,0)    *     IF(B172='Equilibrage de base des sorts'!$B$20,'Equilibrage de base des sorts'!$C$24,0)</f>
        <v>25</v>
      </c>
    </row>
    <row r="176" spans="2:6" x14ac:dyDescent="0.25">
      <c r="B176" s="25"/>
      <c r="C176" s="26"/>
      <c r="E176" s="2" t="s">
        <v>53</v>
      </c>
      <c r="F176" s="2">
        <f>F173+F174+F175</f>
        <v>20</v>
      </c>
    </row>
    <row r="177" spans="2:6" ht="15.75" thickBot="1" x14ac:dyDescent="0.3">
      <c r="B177" s="27"/>
      <c r="C177" s="28"/>
    </row>
    <row r="179" spans="2:6" ht="18" thickBot="1" x14ac:dyDescent="0.35">
      <c r="B179" s="48" t="s">
        <v>180</v>
      </c>
      <c r="C179" s="48"/>
    </row>
    <row r="180" spans="2:6" ht="16.5" thickTop="1" thickBot="1" x14ac:dyDescent="0.3"/>
    <row r="181" spans="2:6" ht="18.75" x14ac:dyDescent="0.25">
      <c r="B181" s="19" t="s">
        <v>197</v>
      </c>
      <c r="C181" s="20"/>
    </row>
    <row r="182" spans="2:6" x14ac:dyDescent="0.25">
      <c r="B182" s="9" t="s">
        <v>44</v>
      </c>
      <c r="C182" s="10" t="s">
        <v>125</v>
      </c>
      <c r="E182" s="21" t="s">
        <v>54</v>
      </c>
      <c r="F182" s="22"/>
    </row>
    <row r="183" spans="2:6" ht="15.75" thickBot="1" x14ac:dyDescent="0.3">
      <c r="B183" s="9">
        <v>3</v>
      </c>
      <c r="C183" s="14">
        <v>3</v>
      </c>
      <c r="E183" t="s">
        <v>37</v>
      </c>
      <c r="F183">
        <f>IF(B182='Equilibrage de base des sorts'!$B$5,'Equilibrage de base des sorts'!$C$7-B183,0)*'Equilibrage de base des sorts'!$C$8    +    IF(B182='Equilibrage de base des sorts'!$B$10,'Equilibrage de base des sorts'!$C$12-B183,0)*'Equilibrage de base des sorts'!$C$13    +    IF(B182='Equilibrage de base des sorts'!$B$15,'Equilibrage de base des sorts'!$C$17-B183,0)*'Equilibrage de base des sorts'!$C$18    +    IF(B182='Equilibrage de base des sorts'!$B$20,'Equilibrage de base des sorts'!$C$22-B183,0)*'Equilibrage de base des sorts'!$C$23</f>
        <v>4</v>
      </c>
    </row>
    <row r="184" spans="2:6" x14ac:dyDescent="0.25">
      <c r="B184" s="23" t="s">
        <v>122</v>
      </c>
      <c r="C184" s="24"/>
      <c r="E184" t="s">
        <v>51</v>
      </c>
      <c r="F184">
        <f>-C183*5</f>
        <v>-15</v>
      </c>
    </row>
    <row r="185" spans="2:6" x14ac:dyDescent="0.25">
      <c r="B185" s="25"/>
      <c r="C185" s="26"/>
      <c r="E185" s="15" t="s">
        <v>52</v>
      </c>
      <c r="F185" s="15">
        <f>IFERROR('Liste des effets'!$D$5*VALUE(MID(B184,SEARCH('Liste des effets'!$B$5,B184)+LEN('Liste des effets'!$B$5)+1,SEARCH(",",B184,SEARCH('Liste des effets'!$B$5,B184))-(SEARCH('Liste des effets'!$B$5,B184)+LEN('Liste des effets'!$B$5)+1))),0)     +     IFERROR('Liste des effets'!$D$6*VALUE(MID(B184,SEARCH('Liste des effets'!$B$6,B184)+LEN('Liste des effets'!$B$6)+1,SEARCH(",",B184,SEARCH('Liste des effets'!$B$6,B184))-(SEARCH('Liste des effets'!$B$6,B184)+LEN('Liste des effets'!$B$6)+1))),0)     +     IFERROR('Liste des effets'!$D$7*VALUE(MID(B184,SEARCH('Liste des effets'!$B$7,B184)+LEN('Liste des effets'!$B$7)+1,SEARCH(",",B184,SEARCH('Liste des effets'!$B$7,B184))-(SEARCH('Liste des effets'!$B$7,B184)+LEN('Liste des effets'!$B$7)+1))),0)     +     IFERROR('Liste des effets'!$D$8*VALUE(MID(B184,SEARCH('Liste des effets'!$B$8,B184)+LEN('Liste des effets'!$B$8)+1,SEARCH(",",B184,SEARCH('Liste des effets'!$B$8,B184))-(SEARCH('Liste des effets'!$B$8,B184)+LEN('Liste des effets'!$B$8)+1))),0)     +     IFERROR('Liste des effets'!$D$9*VALUE(MID(B184,SEARCH('Liste des effets'!$B$9,B184)+LEN('Liste des effets'!$B$9)+1,SEARCH(",",B184,SEARCH('Liste des effets'!$B$9,B184))-(SEARCH('Liste des effets'!$B$9,B184)+LEN('Liste des effets'!$B$9)+1))),0)     +     IFERROR('Liste des effets'!$D$10*VALUE(MID(B184,SEARCH('Liste des effets'!$B$10,B184)+LEN('Liste des effets'!$B$10)+1,SEARCH(",",B184,SEARCH('Liste des effets'!$B$10,B184))-(SEARCH('Liste des effets'!$B$10,B184)+LEN('Liste des effets'!$B$10)+1))),0)     +     IFERROR('Liste des effets'!$D$11*VALUE(MID(B184,SEARCH('Liste des effets'!$B$11,B184)+LEN('Liste des effets'!$B$11)+1,SEARCH(",",B184,SEARCH('Liste des effets'!$B$11,B184))-(SEARCH('Liste des effets'!$B$11,B184)+LEN('Liste des effets'!$B$11)+1))),0)     +     IFERROR('Liste des effets'!$D$12*VALUE(MID(B184,SEARCH('Liste des effets'!$B$12,B184)+LEN('Liste des effets'!$B$12)+1,SEARCH(",",B184,SEARCH('Liste des effets'!$B$12,B184))-(SEARCH('Liste des effets'!$B$12,B184)+LEN('Liste des effets'!$B$12)+1))),0)     +     IFERROR('Liste des effets'!$D$13*VALUE(MID(B184,SEARCH('Liste des effets'!$B$13,B184)+LEN('Liste des effets'!$B$13)+1,SEARCH(",",B184,SEARCH('Liste des effets'!$B$13,B184))-(SEARCH('Liste des effets'!$B$13,B184)+LEN('Liste des effets'!$B$13)+1))),0)     +     IFERROR('Liste des effets'!$D$14*VALUE(MID(B184,SEARCH('Liste des effets'!$B$14,B184)+LEN('Liste des effets'!$B$14)+1,SEARCH(",",B184,SEARCH('Liste des effets'!$B$14,B184))-(SEARCH('Liste des effets'!$B$14,B184)+LEN('Liste des effets'!$B$14)+1))),0)     +     IFERROR('Liste des effets'!$D$15*VALUE(MID(B184,SEARCH('Liste des effets'!$B$15,B184)+LEN('Liste des effets'!$B$15)+1,SEARCH(",",B184,SEARCH('Liste des effets'!$B$15,B184))-(SEARCH('Liste des effets'!$B$15,B184)+LEN('Liste des effets'!$B$15)+1))),0)     +     'Liste des effets'!$D$16*IF(IFERROR(SEARCH('Liste des effets'!$B$16,B184),0)&gt;0,1,0)     +     'Liste des effets'!$D$17*IF(IFERROR(SEARCH('Liste des effets'!$B$17,B184),0)&gt;0,1,0)     +     'Liste des effets'!$D$18*IF(IFERROR(SEARCH('Liste des effets'!$B$18,B184),0)&gt;0,1,0)     +     'Liste des effets'!$D$19*IF(IFERROR(SEARCH('Liste des effets'!$B$19,B184),0)&gt;0,1,0)      +     IF(IFERROR(SEARCH('Liste des effets'!$B$20,B184),0)&gt;0,1,0)    *     IF(B182='Equilibrage de base des sorts'!$B$5,'Equilibrage de base des sorts'!$C$9,0)      +     IF(IFERROR(SEARCH('Liste des effets'!$B$20,B184),0)&gt;0,1,0)    *     IF(B182='Equilibrage de base des sorts'!$B$10,'Equilibrage de base des sorts'!$C$14,0)      +     IF(IFERROR(SEARCH('Liste des effets'!$B$20,B184),0)&gt;0,1,0)    *     IF(B182='Equilibrage de base des sorts'!$B$15,'Equilibrage de base des sorts'!$C$19,0)      +     IF(IFERROR(SEARCH('Liste des effets'!$B$20,B184),0)&gt;0,1,0)    *     IF(B182='Equilibrage de base des sorts'!$B$20,'Equilibrage de base des sorts'!$C$24,0)</f>
        <v>40</v>
      </c>
    </row>
    <row r="186" spans="2:6" x14ac:dyDescent="0.25">
      <c r="B186" s="25"/>
      <c r="C186" s="26"/>
      <c r="E186" s="2" t="s">
        <v>53</v>
      </c>
      <c r="F186" s="2">
        <f>F183+F184+F185</f>
        <v>29</v>
      </c>
    </row>
    <row r="187" spans="2:6" ht="15.75" thickBot="1" x14ac:dyDescent="0.3">
      <c r="B187" s="27"/>
      <c r="C187" s="28"/>
    </row>
    <row r="188" spans="2:6" ht="15.75" thickBot="1" x14ac:dyDescent="0.3"/>
    <row r="189" spans="2:6" ht="18.75" x14ac:dyDescent="0.25">
      <c r="B189" s="19" t="s">
        <v>198</v>
      </c>
      <c r="C189" s="20"/>
    </row>
    <row r="190" spans="2:6" x14ac:dyDescent="0.25">
      <c r="B190" s="9" t="s">
        <v>49</v>
      </c>
      <c r="C190" s="10" t="s">
        <v>125</v>
      </c>
      <c r="E190" s="21" t="s">
        <v>54</v>
      </c>
      <c r="F190" s="22"/>
    </row>
    <row r="191" spans="2:6" ht="15.75" thickBot="1" x14ac:dyDescent="0.3">
      <c r="B191" s="9">
        <v>4</v>
      </c>
      <c r="C191" s="14">
        <v>0</v>
      </c>
      <c r="E191" t="s">
        <v>37</v>
      </c>
      <c r="F191">
        <f>IF(B190='Equilibrage de base des sorts'!$B$5,'Equilibrage de base des sorts'!$C$7-B191,0)*'Equilibrage de base des sorts'!$C$8    +    IF(B190='Equilibrage de base des sorts'!$B$10,'Equilibrage de base des sorts'!$C$12-B191,0)*'Equilibrage de base des sorts'!$C$13    +    IF(B190='Equilibrage de base des sorts'!$B$15,'Equilibrage de base des sorts'!$C$17-B191,0)*'Equilibrage de base des sorts'!$C$18    +    IF(B190='Equilibrage de base des sorts'!$B$20,'Equilibrage de base des sorts'!$C$22-B191,0)*'Equilibrage de base des sorts'!$C$23</f>
        <v>0</v>
      </c>
    </row>
    <row r="192" spans="2:6" x14ac:dyDescent="0.25">
      <c r="B192" s="23" t="s">
        <v>201</v>
      </c>
      <c r="C192" s="24"/>
      <c r="E192" t="s">
        <v>51</v>
      </c>
      <c r="F192">
        <f>-C191*5</f>
        <v>0</v>
      </c>
    </row>
    <row r="193" spans="2:6" x14ac:dyDescent="0.25">
      <c r="B193" s="25"/>
      <c r="C193" s="26"/>
      <c r="E193" s="15" t="s">
        <v>52</v>
      </c>
      <c r="F193" s="15">
        <f>IFERROR('Liste des effets'!$D$5*VALUE(MID(B192,SEARCH('Liste des effets'!$B$5,B192)+LEN('Liste des effets'!$B$5)+1,SEARCH(",",B192,SEARCH('Liste des effets'!$B$5,B192))-(SEARCH('Liste des effets'!$B$5,B192)+LEN('Liste des effets'!$B$5)+1))),0)     +     IFERROR('Liste des effets'!$D$6*VALUE(MID(B192,SEARCH('Liste des effets'!$B$6,B192)+LEN('Liste des effets'!$B$6)+1,SEARCH(",",B192,SEARCH('Liste des effets'!$B$6,B192))-(SEARCH('Liste des effets'!$B$6,B192)+LEN('Liste des effets'!$B$6)+1))),0)     +     IFERROR('Liste des effets'!$D$7*VALUE(MID(B192,SEARCH('Liste des effets'!$B$7,B192)+LEN('Liste des effets'!$B$7)+1,SEARCH(",",B192,SEARCH('Liste des effets'!$B$7,B192))-(SEARCH('Liste des effets'!$B$7,B192)+LEN('Liste des effets'!$B$7)+1))),0)     +     IFERROR('Liste des effets'!$D$8*VALUE(MID(B192,SEARCH('Liste des effets'!$B$8,B192)+LEN('Liste des effets'!$B$8)+1,SEARCH(",",B192,SEARCH('Liste des effets'!$B$8,B192))-(SEARCH('Liste des effets'!$B$8,B192)+LEN('Liste des effets'!$B$8)+1))),0)     +     IFERROR('Liste des effets'!$D$9*VALUE(MID(B192,SEARCH('Liste des effets'!$B$9,B192)+LEN('Liste des effets'!$B$9)+1,SEARCH(",",B192,SEARCH('Liste des effets'!$B$9,B192))-(SEARCH('Liste des effets'!$B$9,B192)+LEN('Liste des effets'!$B$9)+1))),0)     +     IFERROR('Liste des effets'!$D$10*VALUE(MID(B192,SEARCH('Liste des effets'!$B$10,B192)+LEN('Liste des effets'!$B$10)+1,SEARCH(",",B192,SEARCH('Liste des effets'!$B$10,B192))-(SEARCH('Liste des effets'!$B$10,B192)+LEN('Liste des effets'!$B$10)+1))),0)     +     IFERROR('Liste des effets'!$D$11*VALUE(MID(B192,SEARCH('Liste des effets'!$B$11,B192)+LEN('Liste des effets'!$B$11)+1,SEARCH(",",B192,SEARCH('Liste des effets'!$B$11,B192))-(SEARCH('Liste des effets'!$B$11,B192)+LEN('Liste des effets'!$B$11)+1))),0)     +     IFERROR('Liste des effets'!$D$12*VALUE(MID(B192,SEARCH('Liste des effets'!$B$12,B192)+LEN('Liste des effets'!$B$12)+1,SEARCH(",",B192,SEARCH('Liste des effets'!$B$12,B192))-(SEARCH('Liste des effets'!$B$12,B192)+LEN('Liste des effets'!$B$12)+1))),0)     +     IFERROR('Liste des effets'!$D$13*VALUE(MID(B192,SEARCH('Liste des effets'!$B$13,B192)+LEN('Liste des effets'!$B$13)+1,SEARCH(",",B192,SEARCH('Liste des effets'!$B$13,B192))-(SEARCH('Liste des effets'!$B$13,B192)+LEN('Liste des effets'!$B$13)+1))),0)     +     IFERROR('Liste des effets'!$D$14*VALUE(MID(B192,SEARCH('Liste des effets'!$B$14,B192)+LEN('Liste des effets'!$B$14)+1,SEARCH(",",B192,SEARCH('Liste des effets'!$B$14,B192))-(SEARCH('Liste des effets'!$B$14,B192)+LEN('Liste des effets'!$B$14)+1))),0)     +     IFERROR('Liste des effets'!$D$15*VALUE(MID(B192,SEARCH('Liste des effets'!$B$15,B192)+LEN('Liste des effets'!$B$15)+1,SEARCH(",",B192,SEARCH('Liste des effets'!$B$15,B192))-(SEARCH('Liste des effets'!$B$15,B192)+LEN('Liste des effets'!$B$15)+1))),0)     +     'Liste des effets'!$D$16*IF(IFERROR(SEARCH('Liste des effets'!$B$16,B192),0)&gt;0,1,0)     +     'Liste des effets'!$D$17*IF(IFERROR(SEARCH('Liste des effets'!$B$17,B192),0)&gt;0,1,0)     +     'Liste des effets'!$D$18*IF(IFERROR(SEARCH('Liste des effets'!$B$18,B192),0)&gt;0,1,0)     +     'Liste des effets'!$D$19*IF(IFERROR(SEARCH('Liste des effets'!$B$19,B192),0)&gt;0,1,0)      +     IF(IFERROR(SEARCH('Liste des effets'!$B$20,B192),0)&gt;0,1,0)    *     IF(B190='Equilibrage de base des sorts'!$B$5,'Equilibrage de base des sorts'!$C$9,0)      +     IF(IFERROR(SEARCH('Liste des effets'!$B$20,B192),0)&gt;0,1,0)    *     IF(B190='Equilibrage de base des sorts'!$B$10,'Equilibrage de base des sorts'!$C$14,0)      +     IF(IFERROR(SEARCH('Liste des effets'!$B$20,B192),0)&gt;0,1,0)    *     IF(B190='Equilibrage de base des sorts'!$B$15,'Equilibrage de base des sorts'!$C$19,0)      +     IF(IFERROR(SEARCH('Liste des effets'!$B$20,B192),0)&gt;0,1,0)    *     IF(B190='Equilibrage de base des sorts'!$B$20,'Equilibrage de base des sorts'!$C$24,0)</f>
        <v>30</v>
      </c>
    </row>
    <row r="194" spans="2:6" x14ac:dyDescent="0.25">
      <c r="B194" s="25"/>
      <c r="C194" s="26"/>
      <c r="E194" s="2" t="s">
        <v>53</v>
      </c>
      <c r="F194" s="2">
        <f>F191+F192+F193</f>
        <v>30</v>
      </c>
    </row>
    <row r="195" spans="2:6" ht="15.75" thickBot="1" x14ac:dyDescent="0.3">
      <c r="B195" s="27"/>
      <c r="C195" s="28"/>
    </row>
    <row r="196" spans="2:6" ht="15.75" thickBot="1" x14ac:dyDescent="0.3"/>
    <row r="197" spans="2:6" ht="18.75" x14ac:dyDescent="0.25">
      <c r="B197" s="19" t="s">
        <v>199</v>
      </c>
      <c r="C197" s="20"/>
    </row>
    <row r="198" spans="2:6" x14ac:dyDescent="0.25">
      <c r="B198" s="9" t="s">
        <v>50</v>
      </c>
      <c r="C198" s="10" t="s">
        <v>125</v>
      </c>
      <c r="E198" s="21" t="s">
        <v>54</v>
      </c>
      <c r="F198" s="22"/>
    </row>
    <row r="199" spans="2:6" ht="15.75" thickBot="1" x14ac:dyDescent="0.3">
      <c r="B199" s="9">
        <v>5</v>
      </c>
      <c r="C199" s="14">
        <v>5</v>
      </c>
      <c r="E199" t="s">
        <v>37</v>
      </c>
      <c r="F199">
        <f>IF(B198='Equilibrage de base des sorts'!$B$5,'Equilibrage de base des sorts'!$C$7-B199,0)*'Equilibrage de base des sorts'!$C$8    +    IF(B198='Equilibrage de base des sorts'!$B$10,'Equilibrage de base des sorts'!$C$12-B199,0)*'Equilibrage de base des sorts'!$C$13    +    IF(B198='Equilibrage de base des sorts'!$B$15,'Equilibrage de base des sorts'!$C$17-B199,0)*'Equilibrage de base des sorts'!$C$18    +    IF(B198='Equilibrage de base des sorts'!$B$20,'Equilibrage de base des sorts'!$C$22-B199,0)*'Equilibrage de base des sorts'!$C$23</f>
        <v>0</v>
      </c>
    </row>
    <row r="200" spans="2:6" x14ac:dyDescent="0.25">
      <c r="B200" s="23" t="s">
        <v>200</v>
      </c>
      <c r="C200" s="24"/>
      <c r="E200" t="s">
        <v>51</v>
      </c>
      <c r="F200">
        <f>-C199*5</f>
        <v>-25</v>
      </c>
    </row>
    <row r="201" spans="2:6" x14ac:dyDescent="0.25">
      <c r="B201" s="25"/>
      <c r="C201" s="26"/>
      <c r="E201" s="15" t="s">
        <v>52</v>
      </c>
      <c r="F201" s="15">
        <f>IFERROR('Liste des effets'!$D$5*VALUE(MID(B200,SEARCH('Liste des effets'!$B$5,B200)+LEN('Liste des effets'!$B$5)+1,SEARCH(",",B200,SEARCH('Liste des effets'!$B$5,B200))-(SEARCH('Liste des effets'!$B$5,B200)+LEN('Liste des effets'!$B$5)+1))),0)     +     IFERROR('Liste des effets'!$D$6*VALUE(MID(B200,SEARCH('Liste des effets'!$B$6,B200)+LEN('Liste des effets'!$B$6)+1,SEARCH(",",B200,SEARCH('Liste des effets'!$B$6,B200))-(SEARCH('Liste des effets'!$B$6,B200)+LEN('Liste des effets'!$B$6)+1))),0)     +     IFERROR('Liste des effets'!$D$7*VALUE(MID(B200,SEARCH('Liste des effets'!$B$7,B200)+LEN('Liste des effets'!$B$7)+1,SEARCH(",",B200,SEARCH('Liste des effets'!$B$7,B200))-(SEARCH('Liste des effets'!$B$7,B200)+LEN('Liste des effets'!$B$7)+1))),0)     +     IFERROR('Liste des effets'!$D$8*VALUE(MID(B200,SEARCH('Liste des effets'!$B$8,B200)+LEN('Liste des effets'!$B$8)+1,SEARCH(",",B200,SEARCH('Liste des effets'!$B$8,B200))-(SEARCH('Liste des effets'!$B$8,B200)+LEN('Liste des effets'!$B$8)+1))),0)     +     IFERROR('Liste des effets'!$D$9*VALUE(MID(B200,SEARCH('Liste des effets'!$B$9,B200)+LEN('Liste des effets'!$B$9)+1,SEARCH(",",B200,SEARCH('Liste des effets'!$B$9,B200))-(SEARCH('Liste des effets'!$B$9,B200)+LEN('Liste des effets'!$B$9)+1))),0)     +     IFERROR('Liste des effets'!$D$10*VALUE(MID(B200,SEARCH('Liste des effets'!$B$10,B200)+LEN('Liste des effets'!$B$10)+1,SEARCH(",",B200,SEARCH('Liste des effets'!$B$10,B200))-(SEARCH('Liste des effets'!$B$10,B200)+LEN('Liste des effets'!$B$10)+1))),0)     +     IFERROR('Liste des effets'!$D$11*VALUE(MID(B200,SEARCH('Liste des effets'!$B$11,B200)+LEN('Liste des effets'!$B$11)+1,SEARCH(",",B200,SEARCH('Liste des effets'!$B$11,B200))-(SEARCH('Liste des effets'!$B$11,B200)+LEN('Liste des effets'!$B$11)+1))),0)     +     IFERROR('Liste des effets'!$D$12*VALUE(MID(B200,SEARCH('Liste des effets'!$B$12,B200)+LEN('Liste des effets'!$B$12)+1,SEARCH(",",B200,SEARCH('Liste des effets'!$B$12,B200))-(SEARCH('Liste des effets'!$B$12,B200)+LEN('Liste des effets'!$B$12)+1))),0)     +     IFERROR('Liste des effets'!$D$13*VALUE(MID(B200,SEARCH('Liste des effets'!$B$13,B200)+LEN('Liste des effets'!$B$13)+1,SEARCH(",",B200,SEARCH('Liste des effets'!$B$13,B200))-(SEARCH('Liste des effets'!$B$13,B200)+LEN('Liste des effets'!$B$13)+1))),0)     +     IFERROR('Liste des effets'!$D$14*VALUE(MID(B200,SEARCH('Liste des effets'!$B$14,B200)+LEN('Liste des effets'!$B$14)+1,SEARCH(",",B200,SEARCH('Liste des effets'!$B$14,B200))-(SEARCH('Liste des effets'!$B$14,B200)+LEN('Liste des effets'!$B$14)+1))),0)     +     IFERROR('Liste des effets'!$D$15*VALUE(MID(B200,SEARCH('Liste des effets'!$B$15,B200)+LEN('Liste des effets'!$B$15)+1,SEARCH(",",B200,SEARCH('Liste des effets'!$B$15,B200))-(SEARCH('Liste des effets'!$B$15,B200)+LEN('Liste des effets'!$B$15)+1))),0)     +     'Liste des effets'!$D$16*IF(IFERROR(SEARCH('Liste des effets'!$B$16,B200),0)&gt;0,1,0)     +     'Liste des effets'!$D$17*IF(IFERROR(SEARCH('Liste des effets'!$B$17,B200),0)&gt;0,1,0)     +     'Liste des effets'!$D$18*IF(IFERROR(SEARCH('Liste des effets'!$B$18,B200),0)&gt;0,1,0)     +     'Liste des effets'!$D$19*IF(IFERROR(SEARCH('Liste des effets'!$B$19,B200),0)&gt;0,1,0)      +     IF(IFERROR(SEARCH('Liste des effets'!$B$20,B200),0)&gt;0,1,0)    *     IF(B198='Equilibrage de base des sorts'!$B$5,'Equilibrage de base des sorts'!$C$9,0)      +     IF(IFERROR(SEARCH('Liste des effets'!$B$20,B200),0)&gt;0,1,0)    *     IF(B198='Equilibrage de base des sorts'!$B$10,'Equilibrage de base des sorts'!$C$14,0)      +     IF(IFERROR(SEARCH('Liste des effets'!$B$20,B200),0)&gt;0,1,0)    *     IF(B198='Equilibrage de base des sorts'!$B$15,'Equilibrage de base des sorts'!$C$19,0)      +     IF(IFERROR(SEARCH('Liste des effets'!$B$20,B200),0)&gt;0,1,0)    *     IF(B198='Equilibrage de base des sorts'!$B$20,'Equilibrage de base des sorts'!$C$24,0)</f>
        <v>55</v>
      </c>
    </row>
    <row r="202" spans="2:6" x14ac:dyDescent="0.25">
      <c r="B202" s="25"/>
      <c r="C202" s="26"/>
      <c r="E202" s="2" t="s">
        <v>53</v>
      </c>
      <c r="F202" s="2">
        <f>F199+F200+F201</f>
        <v>30</v>
      </c>
    </row>
    <row r="203" spans="2:6" ht="15.75" thickBot="1" x14ac:dyDescent="0.3">
      <c r="B203" s="27"/>
      <c r="C203" s="28"/>
    </row>
    <row r="227" spans="2:15" ht="20.25" thickBot="1" x14ac:dyDescent="0.35">
      <c r="B227" s="29" t="s">
        <v>128</v>
      </c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2:15" ht="15.75" thickTop="1" x14ac:dyDescent="0.25"/>
    <row r="229" spans="2:15" ht="18" thickBot="1" x14ac:dyDescent="0.35">
      <c r="B229" s="48" t="s">
        <v>174</v>
      </c>
      <c r="C229" s="48"/>
    </row>
    <row r="230" spans="2:15" ht="16.5" thickTop="1" thickBot="1" x14ac:dyDescent="0.3"/>
    <row r="231" spans="2:15" ht="18.75" x14ac:dyDescent="0.25">
      <c r="B231" s="19" t="s">
        <v>148</v>
      </c>
      <c r="C231" s="20"/>
      <c r="H231" s="19" t="s">
        <v>152</v>
      </c>
      <c r="I231" s="20"/>
    </row>
    <row r="232" spans="2:15" x14ac:dyDescent="0.25">
      <c r="B232" s="9" t="s">
        <v>44</v>
      </c>
      <c r="C232" s="10" t="s">
        <v>129</v>
      </c>
      <c r="E232" s="21" t="s">
        <v>54</v>
      </c>
      <c r="F232" s="22"/>
      <c r="H232" s="9" t="s">
        <v>44</v>
      </c>
      <c r="I232" s="10" t="s">
        <v>129</v>
      </c>
      <c r="K232" s="21" t="s">
        <v>54</v>
      </c>
      <c r="L232" s="22"/>
    </row>
    <row r="233" spans="2:15" ht="15.75" thickBot="1" x14ac:dyDescent="0.3">
      <c r="B233" s="9">
        <v>4</v>
      </c>
      <c r="C233" s="14">
        <v>2</v>
      </c>
      <c r="E233" t="s">
        <v>37</v>
      </c>
      <c r="F233">
        <f>IF(B232='Equilibrage de base des sorts'!$B$5,'Equilibrage de base des sorts'!$C$7-B233,0)*'Equilibrage de base des sorts'!$C$8    +    IF(B232='Equilibrage de base des sorts'!$B$10,'Equilibrage de base des sorts'!$C$12-B233,0)*'Equilibrage de base des sorts'!$C$13    +    IF(B232='Equilibrage de base des sorts'!$B$15,'Equilibrage de base des sorts'!$C$17-B233,0)*'Equilibrage de base des sorts'!$C$18    +    IF(B232='Equilibrage de base des sorts'!$B$20,'Equilibrage de base des sorts'!$C$22-B233,0)*'Equilibrage de base des sorts'!$C$23</f>
        <v>0</v>
      </c>
      <c r="H233" s="9">
        <v>2</v>
      </c>
      <c r="I233" s="14">
        <v>4</v>
      </c>
      <c r="K233" t="s">
        <v>37</v>
      </c>
      <c r="L233">
        <f>IF(H232='Equilibrage de base des sorts'!$B$5,'Equilibrage de base des sorts'!$C$7-H233,0)*'Equilibrage de base des sorts'!$C$8    +    IF(H232='Equilibrage de base des sorts'!$B$10,'Equilibrage de base des sorts'!$C$12-H233,0)*'Equilibrage de base des sorts'!$C$13    +    IF(H232='Equilibrage de base des sorts'!$B$15,'Equilibrage de base des sorts'!$C$17-H233,0)*'Equilibrage de base des sorts'!$C$18    +    IF(H232='Equilibrage de base des sorts'!$B$20,'Equilibrage de base des sorts'!$C$22-H233,0)*'Equilibrage de base des sorts'!$C$23</f>
        <v>8</v>
      </c>
    </row>
    <row r="234" spans="2:15" x14ac:dyDescent="0.25">
      <c r="B234" s="23" t="s">
        <v>151</v>
      </c>
      <c r="C234" s="24"/>
      <c r="E234" t="s">
        <v>51</v>
      </c>
      <c r="F234">
        <f>-C233*5</f>
        <v>-10</v>
      </c>
      <c r="H234" s="23" t="s">
        <v>165</v>
      </c>
      <c r="I234" s="24"/>
      <c r="K234" t="s">
        <v>51</v>
      </c>
      <c r="L234">
        <f>-I233*5</f>
        <v>-20</v>
      </c>
    </row>
    <row r="235" spans="2:15" x14ac:dyDescent="0.25">
      <c r="B235" s="25"/>
      <c r="C235" s="26"/>
      <c r="E235" s="15" t="s">
        <v>52</v>
      </c>
      <c r="F235" s="15">
        <f>IFERROR('Liste des effets'!$D$5*VALUE(MID(B234,SEARCH('Liste des effets'!$B$5,B234)+LEN('Liste des effets'!$B$5)+1,SEARCH(",",B234,SEARCH('Liste des effets'!$B$5,B234))-(SEARCH('Liste des effets'!$B$5,B234)+LEN('Liste des effets'!$B$5)+1))),0)     +     IFERROR('Liste des effets'!$D$6*VALUE(MID(B234,SEARCH('Liste des effets'!$B$6,B234)+LEN('Liste des effets'!$B$6)+1,SEARCH(",",B234,SEARCH('Liste des effets'!$B$6,B234))-(SEARCH('Liste des effets'!$B$6,B234)+LEN('Liste des effets'!$B$6)+1))),0)     +     IFERROR('Liste des effets'!$D$7*VALUE(MID(B234,SEARCH('Liste des effets'!$B$7,B234)+LEN('Liste des effets'!$B$7)+1,SEARCH(",",B234,SEARCH('Liste des effets'!$B$7,B234))-(SEARCH('Liste des effets'!$B$7,B234)+LEN('Liste des effets'!$B$7)+1))),0)     +     IFERROR('Liste des effets'!$D$8*VALUE(MID(B234,SEARCH('Liste des effets'!$B$8,B234)+LEN('Liste des effets'!$B$8)+1,SEARCH(",",B234,SEARCH('Liste des effets'!$B$8,B234))-(SEARCH('Liste des effets'!$B$8,B234)+LEN('Liste des effets'!$B$8)+1))),0)     +     IFERROR('Liste des effets'!$D$9*VALUE(MID(B234,SEARCH('Liste des effets'!$B$9,B234)+LEN('Liste des effets'!$B$9)+1,SEARCH(",",B234,SEARCH('Liste des effets'!$B$9,B234))-(SEARCH('Liste des effets'!$B$9,B234)+LEN('Liste des effets'!$B$9)+1))),0)     +     IFERROR('Liste des effets'!$D$10*VALUE(MID(B234,SEARCH('Liste des effets'!$B$10,B234)+LEN('Liste des effets'!$B$10)+1,SEARCH(",",B234,SEARCH('Liste des effets'!$B$10,B234))-(SEARCH('Liste des effets'!$B$10,B234)+LEN('Liste des effets'!$B$10)+1))),0)     +     IFERROR('Liste des effets'!$D$11*VALUE(MID(B234,SEARCH('Liste des effets'!$B$11,B234)+LEN('Liste des effets'!$B$11)+1,SEARCH(",",B234,SEARCH('Liste des effets'!$B$11,B234))-(SEARCH('Liste des effets'!$B$11,B234)+LEN('Liste des effets'!$B$11)+1))),0)     +     IFERROR('Liste des effets'!$D$12*VALUE(MID(B234,SEARCH('Liste des effets'!$B$12,B234)+LEN('Liste des effets'!$B$12)+1,SEARCH(",",B234,SEARCH('Liste des effets'!$B$12,B234))-(SEARCH('Liste des effets'!$B$12,B234)+LEN('Liste des effets'!$B$12)+1))),0)     +     IFERROR('Liste des effets'!$D$13*VALUE(MID(B234,SEARCH('Liste des effets'!$B$13,B234)+LEN('Liste des effets'!$B$13)+1,SEARCH(",",B234,SEARCH('Liste des effets'!$B$13,B234))-(SEARCH('Liste des effets'!$B$13,B234)+LEN('Liste des effets'!$B$13)+1))),0)     +     IFERROR('Liste des effets'!$D$14*VALUE(MID(B234,SEARCH('Liste des effets'!$B$14,B234)+LEN('Liste des effets'!$B$14)+1,SEARCH(",",B234,SEARCH('Liste des effets'!$B$14,B234))-(SEARCH('Liste des effets'!$B$14,B234)+LEN('Liste des effets'!$B$14)+1))),0)     +     IFERROR('Liste des effets'!$D$15*VALUE(MID(B234,SEARCH('Liste des effets'!$B$15,B234)+LEN('Liste des effets'!$B$15)+1,SEARCH(",",B234,SEARCH('Liste des effets'!$B$15,B234))-(SEARCH('Liste des effets'!$B$15,B234)+LEN('Liste des effets'!$B$15)+1))),0)     +     'Liste des effets'!$D$16*IF(IFERROR(SEARCH('Liste des effets'!$B$16,B234),0)&gt;0,1,0)     +     'Liste des effets'!$D$17*IF(IFERROR(SEARCH('Liste des effets'!$B$17,B234),0)&gt;0,1,0)     +     'Liste des effets'!$D$18*IF(IFERROR(SEARCH('Liste des effets'!$B$18,B234),0)&gt;0,1,0)     +     'Liste des effets'!$D$19*IF(IFERROR(SEARCH('Liste des effets'!$B$19,B234),0)&gt;0,1,0)      +     IF(IFERROR(SEARCH('Liste des effets'!$B$20,B234),0)&gt;0,1,0)    *     IF(B232='Equilibrage de base des sorts'!$B$5,'Equilibrage de base des sorts'!$C$9,0)      +     IF(IFERROR(SEARCH('Liste des effets'!$B$20,B234),0)&gt;0,1,0)    *     IF(B232='Equilibrage de base des sorts'!$B$10,'Equilibrage de base des sorts'!$C$14,0)      +     IF(IFERROR(SEARCH('Liste des effets'!$B$20,B234),0)&gt;0,1,0)    *     IF(B232='Equilibrage de base des sorts'!$B$15,'Equilibrage de base des sorts'!$C$19,0)      +     IF(IFERROR(SEARCH('Liste des effets'!$B$20,B234),0)&gt;0,1,0)    *     IF(B232='Equilibrage de base des sorts'!$B$20,'Equilibrage de base des sorts'!$C$24,0)</f>
        <v>20</v>
      </c>
      <c r="H235" s="25"/>
      <c r="I235" s="26"/>
      <c r="K235" s="15" t="s">
        <v>52</v>
      </c>
      <c r="L235" s="15">
        <f>IFERROR('Liste des effets'!$D$5*VALUE(MID(H234,SEARCH('Liste des effets'!$B$5,H234)+LEN('Liste des effets'!$B$5)+1,SEARCH(",",H234,SEARCH('Liste des effets'!$B$5,H234))-(SEARCH('Liste des effets'!$B$5,H234)+LEN('Liste des effets'!$B$5)+1))),0)     +     IFERROR('Liste des effets'!$D$6*VALUE(MID(H234,SEARCH('Liste des effets'!$B$6,H234)+LEN('Liste des effets'!$B$6)+1,SEARCH(",",H234,SEARCH('Liste des effets'!$B$6,H234))-(SEARCH('Liste des effets'!$B$6,H234)+LEN('Liste des effets'!$B$6)+1))),0)     +     IFERROR('Liste des effets'!$D$7*VALUE(MID(H234,SEARCH('Liste des effets'!$B$7,H234)+LEN('Liste des effets'!$B$7)+1,SEARCH(",",H234,SEARCH('Liste des effets'!$B$7,H234))-(SEARCH('Liste des effets'!$B$7,H234)+LEN('Liste des effets'!$B$7)+1))),0)     +     IFERROR('Liste des effets'!$D$8*VALUE(MID(H234,SEARCH('Liste des effets'!$B$8,H234)+LEN('Liste des effets'!$B$8)+1,SEARCH(",",H234,SEARCH('Liste des effets'!$B$8,H234))-(SEARCH('Liste des effets'!$B$8,H234)+LEN('Liste des effets'!$B$8)+1))),0)     +     IFERROR('Liste des effets'!$D$9*VALUE(MID(H234,SEARCH('Liste des effets'!$B$9,H234)+LEN('Liste des effets'!$B$9)+1,SEARCH(",",H234,SEARCH('Liste des effets'!$B$9,H234))-(SEARCH('Liste des effets'!$B$9,H234)+LEN('Liste des effets'!$B$9)+1))),0)     +     IFERROR('Liste des effets'!$D$10*VALUE(MID(H234,SEARCH('Liste des effets'!$B$10,H234)+LEN('Liste des effets'!$B$10)+1,SEARCH(",",H234,SEARCH('Liste des effets'!$B$10,H234))-(SEARCH('Liste des effets'!$B$10,H234)+LEN('Liste des effets'!$B$10)+1))),0)     +     IFERROR('Liste des effets'!$D$11*VALUE(MID(H234,SEARCH('Liste des effets'!$B$11,H234)+LEN('Liste des effets'!$B$11)+1,SEARCH(",",H234,SEARCH('Liste des effets'!$B$11,H234))-(SEARCH('Liste des effets'!$B$11,H234)+LEN('Liste des effets'!$B$11)+1))),0)     +     IFERROR('Liste des effets'!$D$12*VALUE(MID(H234,SEARCH('Liste des effets'!$B$12,H234)+LEN('Liste des effets'!$B$12)+1,SEARCH(",",H234,SEARCH('Liste des effets'!$B$12,H234))-(SEARCH('Liste des effets'!$B$12,H234)+LEN('Liste des effets'!$B$12)+1))),0)     +     IFERROR('Liste des effets'!$D$13*VALUE(MID(H234,SEARCH('Liste des effets'!$B$13,H234)+LEN('Liste des effets'!$B$13)+1,SEARCH(",",H234,SEARCH('Liste des effets'!$B$13,H234))-(SEARCH('Liste des effets'!$B$13,H234)+LEN('Liste des effets'!$B$13)+1))),0)     +     IFERROR('Liste des effets'!$D$14*VALUE(MID(H234,SEARCH('Liste des effets'!$B$14,H234)+LEN('Liste des effets'!$B$14)+1,SEARCH(",",H234,SEARCH('Liste des effets'!$B$14,H234))-(SEARCH('Liste des effets'!$B$14,H234)+LEN('Liste des effets'!$B$14)+1))),0)     +     IFERROR('Liste des effets'!$D$15*VALUE(MID(H234,SEARCH('Liste des effets'!$B$15,H234)+LEN('Liste des effets'!$B$15)+1,SEARCH(",",H234,SEARCH('Liste des effets'!$B$15,H234))-(SEARCH('Liste des effets'!$B$15,H234)+LEN('Liste des effets'!$B$15)+1))),0)     +     'Liste des effets'!$D$16*IF(IFERROR(SEARCH('Liste des effets'!$B$16,H234),0)&gt;0,1,0)     +     'Liste des effets'!$D$17*IF(IFERROR(SEARCH('Liste des effets'!$B$17,H234),0)&gt;0,1,0)     +     'Liste des effets'!$D$18*IF(IFERROR(SEARCH('Liste des effets'!$B$18,H234),0)&gt;0,1,0)     +     'Liste des effets'!$D$19*IF(IFERROR(SEARCH('Liste des effets'!$B$19,H234),0)&gt;0,1,0)      +     IF(IFERROR(SEARCH('Liste des effets'!$B$20,H234),0)&gt;0,1,0)    *     IF(H232='Equilibrage de base des sorts'!$B$5,'Equilibrage de base des sorts'!$C$9,0)      +     IF(IFERROR(SEARCH('Liste des effets'!$B$20,H234),0)&gt;0,1,0)    *     IF(H232='Equilibrage de base des sorts'!$B$10,'Equilibrage de base des sorts'!$C$14,0)      +     IF(IFERROR(SEARCH('Liste des effets'!$B$20,H234),0)&gt;0,1,0)    *     IF(H232='Equilibrage de base des sorts'!$B$15,'Equilibrage de base des sorts'!$C$19,0)      +     IF(IFERROR(SEARCH('Liste des effets'!$B$20,H234),0)&gt;0,1,0)    *     IF(H232='Equilibrage de base des sorts'!$B$20,'Equilibrage de base des sorts'!$C$24,0)</f>
        <v>22.5</v>
      </c>
    </row>
    <row r="236" spans="2:15" x14ac:dyDescent="0.25">
      <c r="B236" s="25"/>
      <c r="C236" s="26"/>
      <c r="E236" s="2" t="s">
        <v>53</v>
      </c>
      <c r="F236" s="2">
        <f>F233+F234+F235</f>
        <v>10</v>
      </c>
      <c r="H236" s="25"/>
      <c r="I236" s="26"/>
      <c r="K236" s="2" t="s">
        <v>53</v>
      </c>
      <c r="L236" s="2">
        <f>L233+L234+L235</f>
        <v>10.5</v>
      </c>
    </row>
    <row r="237" spans="2:15" ht="15.75" thickBot="1" x14ac:dyDescent="0.3">
      <c r="B237" s="27"/>
      <c r="C237" s="28"/>
      <c r="H237" s="27"/>
      <c r="I237" s="28"/>
    </row>
    <row r="238" spans="2:15" ht="15.75" thickBot="1" x14ac:dyDescent="0.3"/>
    <row r="239" spans="2:15" ht="18.75" x14ac:dyDescent="0.25">
      <c r="B239" s="19" t="s">
        <v>153</v>
      </c>
      <c r="C239" s="20"/>
    </row>
    <row r="240" spans="2:15" x14ac:dyDescent="0.25">
      <c r="B240" s="9" t="s">
        <v>48</v>
      </c>
      <c r="C240" s="10" t="s">
        <v>129</v>
      </c>
      <c r="E240" s="21" t="s">
        <v>54</v>
      </c>
      <c r="F240" s="22"/>
    </row>
    <row r="241" spans="2:18" ht="15.75" thickBot="1" x14ac:dyDescent="0.3">
      <c r="B241" s="9">
        <v>5</v>
      </c>
      <c r="C241" s="14">
        <v>5</v>
      </c>
      <c r="E241" t="s">
        <v>37</v>
      </c>
      <c r="F241">
        <f>IF(B240='Equilibrage de base des sorts'!$B$5,'Equilibrage de base des sorts'!$C$7-B241,0)*'Equilibrage de base des sorts'!$C$8    +    IF(B240='Equilibrage de base des sorts'!$B$10,'Equilibrage de base des sorts'!$C$12-B241,0)*'Equilibrage de base des sorts'!$C$13    +    IF(B240='Equilibrage de base des sorts'!$B$15,'Equilibrage de base des sorts'!$C$17-B241,0)*'Equilibrage de base des sorts'!$C$18    +    IF(B240='Equilibrage de base des sorts'!$B$20,'Equilibrage de base des sorts'!$C$22-B241,0)*'Equilibrage de base des sorts'!$C$23</f>
        <v>-4</v>
      </c>
    </row>
    <row r="242" spans="2:18" x14ac:dyDescent="0.25">
      <c r="B242" s="23" t="s">
        <v>122</v>
      </c>
      <c r="C242" s="24"/>
      <c r="E242" t="s">
        <v>51</v>
      </c>
      <c r="F242">
        <f>-C241*5</f>
        <v>-25</v>
      </c>
    </row>
    <row r="243" spans="2:18" x14ac:dyDescent="0.25">
      <c r="B243" s="25"/>
      <c r="C243" s="26"/>
      <c r="E243" s="15" t="s">
        <v>52</v>
      </c>
      <c r="F243" s="15">
        <f>IFERROR('Liste des effets'!$D$5*VALUE(MID(B242,SEARCH('Liste des effets'!$B$5,B242)+LEN('Liste des effets'!$B$5)+1,SEARCH(",",B242,SEARCH('Liste des effets'!$B$5,B242))-(SEARCH('Liste des effets'!$B$5,B242)+LEN('Liste des effets'!$B$5)+1))),0)     +     IFERROR('Liste des effets'!$D$6*VALUE(MID(B242,SEARCH('Liste des effets'!$B$6,B242)+LEN('Liste des effets'!$B$6)+1,SEARCH(",",B242,SEARCH('Liste des effets'!$B$6,B242))-(SEARCH('Liste des effets'!$B$6,B242)+LEN('Liste des effets'!$B$6)+1))),0)     +     IFERROR('Liste des effets'!$D$7*VALUE(MID(B242,SEARCH('Liste des effets'!$B$7,B242)+LEN('Liste des effets'!$B$7)+1,SEARCH(",",B242,SEARCH('Liste des effets'!$B$7,B242))-(SEARCH('Liste des effets'!$B$7,B242)+LEN('Liste des effets'!$B$7)+1))),0)     +     IFERROR('Liste des effets'!$D$8*VALUE(MID(B242,SEARCH('Liste des effets'!$B$8,B242)+LEN('Liste des effets'!$B$8)+1,SEARCH(",",B242,SEARCH('Liste des effets'!$B$8,B242))-(SEARCH('Liste des effets'!$B$8,B242)+LEN('Liste des effets'!$B$8)+1))),0)     +     IFERROR('Liste des effets'!$D$9*VALUE(MID(B242,SEARCH('Liste des effets'!$B$9,B242)+LEN('Liste des effets'!$B$9)+1,SEARCH(",",B242,SEARCH('Liste des effets'!$B$9,B242))-(SEARCH('Liste des effets'!$B$9,B242)+LEN('Liste des effets'!$B$9)+1))),0)     +     IFERROR('Liste des effets'!$D$10*VALUE(MID(B242,SEARCH('Liste des effets'!$B$10,B242)+LEN('Liste des effets'!$B$10)+1,SEARCH(",",B242,SEARCH('Liste des effets'!$B$10,B242))-(SEARCH('Liste des effets'!$B$10,B242)+LEN('Liste des effets'!$B$10)+1))),0)     +     IFERROR('Liste des effets'!$D$11*VALUE(MID(B242,SEARCH('Liste des effets'!$B$11,B242)+LEN('Liste des effets'!$B$11)+1,SEARCH(",",B242,SEARCH('Liste des effets'!$B$11,B242))-(SEARCH('Liste des effets'!$B$11,B242)+LEN('Liste des effets'!$B$11)+1))),0)     +     IFERROR('Liste des effets'!$D$12*VALUE(MID(B242,SEARCH('Liste des effets'!$B$12,B242)+LEN('Liste des effets'!$B$12)+1,SEARCH(",",B242,SEARCH('Liste des effets'!$B$12,B242))-(SEARCH('Liste des effets'!$B$12,B242)+LEN('Liste des effets'!$B$12)+1))),0)     +     IFERROR('Liste des effets'!$D$13*VALUE(MID(B242,SEARCH('Liste des effets'!$B$13,B242)+LEN('Liste des effets'!$B$13)+1,SEARCH(",",B242,SEARCH('Liste des effets'!$B$13,B242))-(SEARCH('Liste des effets'!$B$13,B242)+LEN('Liste des effets'!$B$13)+1))),0)     +     IFERROR('Liste des effets'!$D$14*VALUE(MID(B242,SEARCH('Liste des effets'!$B$14,B242)+LEN('Liste des effets'!$B$14)+1,SEARCH(",",B242,SEARCH('Liste des effets'!$B$14,B242))-(SEARCH('Liste des effets'!$B$14,B242)+LEN('Liste des effets'!$B$14)+1))),0)     +     IFERROR('Liste des effets'!$D$15*VALUE(MID(B242,SEARCH('Liste des effets'!$B$15,B242)+LEN('Liste des effets'!$B$15)+1,SEARCH(",",B242,SEARCH('Liste des effets'!$B$15,B242))-(SEARCH('Liste des effets'!$B$15,B242)+LEN('Liste des effets'!$B$15)+1))),0)     +     'Liste des effets'!$D$16*IF(IFERROR(SEARCH('Liste des effets'!$B$16,B242),0)&gt;0,1,0)     +     'Liste des effets'!$D$17*IF(IFERROR(SEARCH('Liste des effets'!$B$17,B242),0)&gt;0,1,0)     +     'Liste des effets'!$D$18*IF(IFERROR(SEARCH('Liste des effets'!$B$18,B242),0)&gt;0,1,0)     +     'Liste des effets'!$D$19*IF(IFERROR(SEARCH('Liste des effets'!$B$19,B242),0)&gt;0,1,0)      +     IF(IFERROR(SEARCH('Liste des effets'!$B$20,B242),0)&gt;0,1,0)    *     IF(B240='Equilibrage de base des sorts'!$B$5,'Equilibrage de base des sorts'!$C$9,0)      +     IF(IFERROR(SEARCH('Liste des effets'!$B$20,B242),0)&gt;0,1,0)    *     IF(B240='Equilibrage de base des sorts'!$B$10,'Equilibrage de base des sorts'!$C$14,0)      +     IF(IFERROR(SEARCH('Liste des effets'!$B$20,B242),0)&gt;0,1,0)    *     IF(B240='Equilibrage de base des sorts'!$B$15,'Equilibrage de base des sorts'!$C$19,0)      +     IF(IFERROR(SEARCH('Liste des effets'!$B$20,B242),0)&gt;0,1,0)    *     IF(B240='Equilibrage de base des sorts'!$B$20,'Equilibrage de base des sorts'!$C$24,0)</f>
        <v>40</v>
      </c>
    </row>
    <row r="244" spans="2:18" x14ac:dyDescent="0.25">
      <c r="B244" s="25"/>
      <c r="C244" s="26"/>
      <c r="E244" s="2" t="s">
        <v>53</v>
      </c>
      <c r="F244" s="2">
        <f>F241+F242+F243</f>
        <v>11</v>
      </c>
    </row>
    <row r="245" spans="2:18" ht="15.75" thickBot="1" x14ac:dyDescent="0.3">
      <c r="B245" s="27"/>
      <c r="C245" s="28"/>
    </row>
    <row r="246" spans="2:18" ht="15.75" thickBot="1" x14ac:dyDescent="0.3"/>
    <row r="247" spans="2:18" ht="18.75" x14ac:dyDescent="0.25">
      <c r="B247" s="19" t="s">
        <v>154</v>
      </c>
      <c r="C247" s="20"/>
      <c r="H247" s="19" t="s">
        <v>166</v>
      </c>
      <c r="I247" s="20"/>
      <c r="N247" s="19" t="s">
        <v>172</v>
      </c>
      <c r="O247" s="20"/>
    </row>
    <row r="248" spans="2:18" x14ac:dyDescent="0.25">
      <c r="B248" s="9" t="s">
        <v>49</v>
      </c>
      <c r="C248" s="10" t="s">
        <v>129</v>
      </c>
      <c r="E248" s="21" t="s">
        <v>54</v>
      </c>
      <c r="F248" s="22"/>
      <c r="H248" s="9" t="s">
        <v>49</v>
      </c>
      <c r="I248" s="10" t="s">
        <v>129</v>
      </c>
      <c r="K248" s="21" t="s">
        <v>54</v>
      </c>
      <c r="L248" s="22"/>
      <c r="N248" s="9" t="s">
        <v>49</v>
      </c>
      <c r="O248" s="10" t="s">
        <v>129</v>
      </c>
      <c r="Q248" s="21" t="s">
        <v>54</v>
      </c>
      <c r="R248" s="22"/>
    </row>
    <row r="249" spans="2:18" ht="15.75" thickBot="1" x14ac:dyDescent="0.3">
      <c r="B249" s="9">
        <v>4</v>
      </c>
      <c r="C249" s="14">
        <v>5</v>
      </c>
      <c r="E249" t="s">
        <v>37</v>
      </c>
      <c r="F249">
        <f>IF(B248='Equilibrage de base des sorts'!$B$5,'Equilibrage de base des sorts'!$C$7-B249,0)*'Equilibrage de base des sorts'!$C$8    +    IF(B248='Equilibrage de base des sorts'!$B$10,'Equilibrage de base des sorts'!$C$12-B249,0)*'Equilibrage de base des sorts'!$C$13    +    IF(B248='Equilibrage de base des sorts'!$B$15,'Equilibrage de base des sorts'!$C$17-B249,0)*'Equilibrage de base des sorts'!$C$18    +    IF(B248='Equilibrage de base des sorts'!$B$20,'Equilibrage de base des sorts'!$C$22-B249,0)*'Equilibrage de base des sorts'!$C$23</f>
        <v>0</v>
      </c>
      <c r="H249" s="9">
        <v>2</v>
      </c>
      <c r="I249" s="14">
        <v>2</v>
      </c>
      <c r="K249" t="s">
        <v>37</v>
      </c>
      <c r="L249">
        <f>IF(H248='Equilibrage de base des sorts'!$B$5,'Equilibrage de base des sorts'!$C$7-H249,0)*'Equilibrage de base des sorts'!$C$8    +    IF(H248='Equilibrage de base des sorts'!$B$10,'Equilibrage de base des sorts'!$C$12-H249,0)*'Equilibrage de base des sorts'!$C$13    +    IF(H248='Equilibrage de base des sorts'!$B$15,'Equilibrage de base des sorts'!$C$17-H249,0)*'Equilibrage de base des sorts'!$C$18    +    IF(H248='Equilibrage de base des sorts'!$B$20,'Equilibrage de base des sorts'!$C$22-H249,0)*'Equilibrage de base des sorts'!$C$23</f>
        <v>8</v>
      </c>
      <c r="N249" s="9">
        <v>3</v>
      </c>
      <c r="O249" s="14">
        <v>3</v>
      </c>
      <c r="Q249" t="s">
        <v>37</v>
      </c>
      <c r="R249">
        <f>IF(N248='Equilibrage de base des sorts'!$B$5,'Equilibrage de base des sorts'!$C$7-N249,0)*'Equilibrage de base des sorts'!$C$8    +    IF(N248='Equilibrage de base des sorts'!$B$10,'Equilibrage de base des sorts'!$C$12-N249,0)*'Equilibrage de base des sorts'!$C$13    +    IF(N248='Equilibrage de base des sorts'!$B$15,'Equilibrage de base des sorts'!$C$17-N249,0)*'Equilibrage de base des sorts'!$C$18    +    IF(N248='Equilibrage de base des sorts'!$B$20,'Equilibrage de base des sorts'!$C$22-N249,0)*'Equilibrage de base des sorts'!$C$23</f>
        <v>4</v>
      </c>
    </row>
    <row r="250" spans="2:18" x14ac:dyDescent="0.25">
      <c r="B250" s="23" t="s">
        <v>171</v>
      </c>
      <c r="C250" s="24"/>
      <c r="E250" t="s">
        <v>51</v>
      </c>
      <c r="F250">
        <f>-C249*5</f>
        <v>-25</v>
      </c>
      <c r="H250" s="23" t="s">
        <v>169</v>
      </c>
      <c r="I250" s="24"/>
      <c r="K250" t="s">
        <v>51</v>
      </c>
      <c r="L250">
        <f>-I249*5</f>
        <v>-10</v>
      </c>
      <c r="N250" s="23" t="s">
        <v>121</v>
      </c>
      <c r="O250" s="24"/>
      <c r="Q250" t="s">
        <v>51</v>
      </c>
      <c r="R250">
        <f>-O249*5</f>
        <v>-15</v>
      </c>
    </row>
    <row r="251" spans="2:18" x14ac:dyDescent="0.25">
      <c r="B251" s="25"/>
      <c r="C251" s="26"/>
      <c r="E251" s="15" t="s">
        <v>52</v>
      </c>
      <c r="F251" s="15">
        <f>IFERROR('Liste des effets'!$D$5*VALUE(MID(B250,SEARCH('Liste des effets'!$B$5,B250)+LEN('Liste des effets'!$B$5)+1,SEARCH(",",B250,SEARCH('Liste des effets'!$B$5,B250))-(SEARCH('Liste des effets'!$B$5,B250)+LEN('Liste des effets'!$B$5)+1))),0)     +     IFERROR('Liste des effets'!$D$6*VALUE(MID(B250,SEARCH('Liste des effets'!$B$6,B250)+LEN('Liste des effets'!$B$6)+1,SEARCH(",",B250,SEARCH('Liste des effets'!$B$6,B250))-(SEARCH('Liste des effets'!$B$6,B250)+LEN('Liste des effets'!$B$6)+1))),0)     +     IFERROR('Liste des effets'!$D$7*VALUE(MID(B250,SEARCH('Liste des effets'!$B$7,B250)+LEN('Liste des effets'!$B$7)+1,SEARCH(",",B250,SEARCH('Liste des effets'!$B$7,B250))-(SEARCH('Liste des effets'!$B$7,B250)+LEN('Liste des effets'!$B$7)+1))),0)     +     IFERROR('Liste des effets'!$D$8*VALUE(MID(B250,SEARCH('Liste des effets'!$B$8,B250)+LEN('Liste des effets'!$B$8)+1,SEARCH(",",B250,SEARCH('Liste des effets'!$B$8,B250))-(SEARCH('Liste des effets'!$B$8,B250)+LEN('Liste des effets'!$B$8)+1))),0)     +     IFERROR('Liste des effets'!$D$9*VALUE(MID(B250,SEARCH('Liste des effets'!$B$9,B250)+LEN('Liste des effets'!$B$9)+1,SEARCH(",",B250,SEARCH('Liste des effets'!$B$9,B250))-(SEARCH('Liste des effets'!$B$9,B250)+LEN('Liste des effets'!$B$9)+1))),0)     +     IFERROR('Liste des effets'!$D$10*VALUE(MID(B250,SEARCH('Liste des effets'!$B$10,B250)+LEN('Liste des effets'!$B$10)+1,SEARCH(",",B250,SEARCH('Liste des effets'!$B$10,B250))-(SEARCH('Liste des effets'!$B$10,B250)+LEN('Liste des effets'!$B$10)+1))),0)     +     IFERROR('Liste des effets'!$D$11*VALUE(MID(B250,SEARCH('Liste des effets'!$B$11,B250)+LEN('Liste des effets'!$B$11)+1,SEARCH(",",B250,SEARCH('Liste des effets'!$B$11,B250))-(SEARCH('Liste des effets'!$B$11,B250)+LEN('Liste des effets'!$B$11)+1))),0)     +     IFERROR('Liste des effets'!$D$12*VALUE(MID(B250,SEARCH('Liste des effets'!$B$12,B250)+LEN('Liste des effets'!$B$12)+1,SEARCH(",",B250,SEARCH('Liste des effets'!$B$12,B250))-(SEARCH('Liste des effets'!$B$12,B250)+LEN('Liste des effets'!$B$12)+1))),0)     +     IFERROR('Liste des effets'!$D$13*VALUE(MID(B250,SEARCH('Liste des effets'!$B$13,B250)+LEN('Liste des effets'!$B$13)+1,SEARCH(",",B250,SEARCH('Liste des effets'!$B$13,B250))-(SEARCH('Liste des effets'!$B$13,B250)+LEN('Liste des effets'!$B$13)+1))),0)     +     IFERROR('Liste des effets'!$D$14*VALUE(MID(B250,SEARCH('Liste des effets'!$B$14,B250)+LEN('Liste des effets'!$B$14)+1,SEARCH(",",B250,SEARCH('Liste des effets'!$B$14,B250))-(SEARCH('Liste des effets'!$B$14,B250)+LEN('Liste des effets'!$B$14)+1))),0)     +     IFERROR('Liste des effets'!$D$15*VALUE(MID(B250,SEARCH('Liste des effets'!$B$15,B250)+LEN('Liste des effets'!$B$15)+1,SEARCH(",",B250,SEARCH('Liste des effets'!$B$15,B250))-(SEARCH('Liste des effets'!$B$15,B250)+LEN('Liste des effets'!$B$15)+1))),0)     +     'Liste des effets'!$D$16*IF(IFERROR(SEARCH('Liste des effets'!$B$16,B250),0)&gt;0,1,0)     +     'Liste des effets'!$D$17*IF(IFERROR(SEARCH('Liste des effets'!$B$17,B250),0)&gt;0,1,0)     +     'Liste des effets'!$D$18*IF(IFERROR(SEARCH('Liste des effets'!$B$18,B250),0)&gt;0,1,0)     +     'Liste des effets'!$D$19*IF(IFERROR(SEARCH('Liste des effets'!$B$19,B250),0)&gt;0,1,0)      +     IF(IFERROR(SEARCH('Liste des effets'!$B$20,B250),0)&gt;0,1,0)    *     IF(B248='Equilibrage de base des sorts'!$B$5,'Equilibrage de base des sorts'!$C$9,0)      +     IF(IFERROR(SEARCH('Liste des effets'!$B$20,B250),0)&gt;0,1,0)    *     IF(B248='Equilibrage de base des sorts'!$B$10,'Equilibrage de base des sorts'!$C$14,0)      +     IF(IFERROR(SEARCH('Liste des effets'!$B$20,B250),0)&gt;0,1,0)    *     IF(B248='Equilibrage de base des sorts'!$B$15,'Equilibrage de base des sorts'!$C$19,0)      +     IF(IFERROR(SEARCH('Liste des effets'!$B$20,B250),0)&gt;0,1,0)    *     IF(B248='Equilibrage de base des sorts'!$B$20,'Equilibrage de base des sorts'!$C$24,0)</f>
        <v>35</v>
      </c>
      <c r="H251" s="25"/>
      <c r="I251" s="26"/>
      <c r="K251" s="15" t="s">
        <v>52</v>
      </c>
      <c r="L251" s="15">
        <f>IFERROR('Liste des effets'!$D$5*VALUE(MID(H250,SEARCH('Liste des effets'!$B$5,H250)+LEN('Liste des effets'!$B$5)+1,SEARCH(",",H250,SEARCH('Liste des effets'!$B$5,H250))-(SEARCH('Liste des effets'!$B$5,H250)+LEN('Liste des effets'!$B$5)+1))),0)     +     IFERROR('Liste des effets'!$D$6*VALUE(MID(H250,SEARCH('Liste des effets'!$B$6,H250)+LEN('Liste des effets'!$B$6)+1,SEARCH(",",H250,SEARCH('Liste des effets'!$B$6,H250))-(SEARCH('Liste des effets'!$B$6,H250)+LEN('Liste des effets'!$B$6)+1))),0)     +     IFERROR('Liste des effets'!$D$7*VALUE(MID(H250,SEARCH('Liste des effets'!$B$7,H250)+LEN('Liste des effets'!$B$7)+1,SEARCH(",",H250,SEARCH('Liste des effets'!$B$7,H250))-(SEARCH('Liste des effets'!$B$7,H250)+LEN('Liste des effets'!$B$7)+1))),0)     +     IFERROR('Liste des effets'!$D$8*VALUE(MID(H250,SEARCH('Liste des effets'!$B$8,H250)+LEN('Liste des effets'!$B$8)+1,SEARCH(",",H250,SEARCH('Liste des effets'!$B$8,H250))-(SEARCH('Liste des effets'!$B$8,H250)+LEN('Liste des effets'!$B$8)+1))),0)     +     IFERROR('Liste des effets'!$D$9*VALUE(MID(H250,SEARCH('Liste des effets'!$B$9,H250)+LEN('Liste des effets'!$B$9)+1,SEARCH(",",H250,SEARCH('Liste des effets'!$B$9,H250))-(SEARCH('Liste des effets'!$B$9,H250)+LEN('Liste des effets'!$B$9)+1))),0)     +     IFERROR('Liste des effets'!$D$10*VALUE(MID(H250,SEARCH('Liste des effets'!$B$10,H250)+LEN('Liste des effets'!$B$10)+1,SEARCH(",",H250,SEARCH('Liste des effets'!$B$10,H250))-(SEARCH('Liste des effets'!$B$10,H250)+LEN('Liste des effets'!$B$10)+1))),0)     +     IFERROR('Liste des effets'!$D$11*VALUE(MID(H250,SEARCH('Liste des effets'!$B$11,H250)+LEN('Liste des effets'!$B$11)+1,SEARCH(",",H250,SEARCH('Liste des effets'!$B$11,H250))-(SEARCH('Liste des effets'!$B$11,H250)+LEN('Liste des effets'!$B$11)+1))),0)     +     IFERROR('Liste des effets'!$D$12*VALUE(MID(H250,SEARCH('Liste des effets'!$B$12,H250)+LEN('Liste des effets'!$B$12)+1,SEARCH(",",H250,SEARCH('Liste des effets'!$B$12,H250))-(SEARCH('Liste des effets'!$B$12,H250)+LEN('Liste des effets'!$B$12)+1))),0)     +     IFERROR('Liste des effets'!$D$13*VALUE(MID(H250,SEARCH('Liste des effets'!$B$13,H250)+LEN('Liste des effets'!$B$13)+1,SEARCH(",",H250,SEARCH('Liste des effets'!$B$13,H250))-(SEARCH('Liste des effets'!$B$13,H250)+LEN('Liste des effets'!$B$13)+1))),0)     +     IFERROR('Liste des effets'!$D$14*VALUE(MID(H250,SEARCH('Liste des effets'!$B$14,H250)+LEN('Liste des effets'!$B$14)+1,SEARCH(",",H250,SEARCH('Liste des effets'!$B$14,H250))-(SEARCH('Liste des effets'!$B$14,H250)+LEN('Liste des effets'!$B$14)+1))),0)     +     IFERROR('Liste des effets'!$D$15*VALUE(MID(H250,SEARCH('Liste des effets'!$B$15,H250)+LEN('Liste des effets'!$B$15)+1,SEARCH(",",H250,SEARCH('Liste des effets'!$B$15,H250))-(SEARCH('Liste des effets'!$B$15,H250)+LEN('Liste des effets'!$B$15)+1))),0)     +     'Liste des effets'!$D$16*IF(IFERROR(SEARCH('Liste des effets'!$B$16,H250),0)&gt;0,1,0)     +     'Liste des effets'!$D$17*IF(IFERROR(SEARCH('Liste des effets'!$B$17,H250),0)&gt;0,1,0)     +     'Liste des effets'!$D$18*IF(IFERROR(SEARCH('Liste des effets'!$B$18,H250),0)&gt;0,1,0)     +     'Liste des effets'!$D$19*IF(IFERROR(SEARCH('Liste des effets'!$B$19,H250),0)&gt;0,1,0)      +     IF(IFERROR(SEARCH('Liste des effets'!$B$20,H250),0)&gt;0,1,0)    *     IF(H248='Equilibrage de base des sorts'!$B$5,'Equilibrage de base des sorts'!$C$9,0)      +     IF(IFERROR(SEARCH('Liste des effets'!$B$20,H250),0)&gt;0,1,0)    *     IF(H248='Equilibrage de base des sorts'!$B$10,'Equilibrage de base des sorts'!$C$14,0)      +     IF(IFERROR(SEARCH('Liste des effets'!$B$20,H250),0)&gt;0,1,0)    *     IF(H248='Equilibrage de base des sorts'!$B$15,'Equilibrage de base des sorts'!$C$19,0)      +     IF(IFERROR(SEARCH('Liste des effets'!$B$20,H250),0)&gt;0,1,0)    *     IF(H248='Equilibrage de base des sorts'!$B$20,'Equilibrage de base des sorts'!$C$24,0)</f>
        <v>12</v>
      </c>
      <c r="N251" s="25"/>
      <c r="O251" s="26"/>
      <c r="Q251" s="15" t="s">
        <v>52</v>
      </c>
      <c r="R251" s="15">
        <f>IFERROR('Liste des effets'!$D$5*VALUE(MID(N250,SEARCH('Liste des effets'!$B$5,N250)+LEN('Liste des effets'!$B$5)+1,SEARCH(",",N250,SEARCH('Liste des effets'!$B$5,N250))-(SEARCH('Liste des effets'!$B$5,N250)+LEN('Liste des effets'!$B$5)+1))),0)     +     IFERROR('Liste des effets'!$D$6*VALUE(MID(N250,SEARCH('Liste des effets'!$B$6,N250)+LEN('Liste des effets'!$B$6)+1,SEARCH(",",N250,SEARCH('Liste des effets'!$B$6,N250))-(SEARCH('Liste des effets'!$B$6,N250)+LEN('Liste des effets'!$B$6)+1))),0)     +     IFERROR('Liste des effets'!$D$7*VALUE(MID(N250,SEARCH('Liste des effets'!$B$7,N250)+LEN('Liste des effets'!$B$7)+1,SEARCH(",",N250,SEARCH('Liste des effets'!$B$7,N250))-(SEARCH('Liste des effets'!$B$7,N250)+LEN('Liste des effets'!$B$7)+1))),0)     +     IFERROR('Liste des effets'!$D$8*VALUE(MID(N250,SEARCH('Liste des effets'!$B$8,N250)+LEN('Liste des effets'!$B$8)+1,SEARCH(",",N250,SEARCH('Liste des effets'!$B$8,N250))-(SEARCH('Liste des effets'!$B$8,N250)+LEN('Liste des effets'!$B$8)+1))),0)     +     IFERROR('Liste des effets'!$D$9*VALUE(MID(N250,SEARCH('Liste des effets'!$B$9,N250)+LEN('Liste des effets'!$B$9)+1,SEARCH(",",N250,SEARCH('Liste des effets'!$B$9,N250))-(SEARCH('Liste des effets'!$B$9,N250)+LEN('Liste des effets'!$B$9)+1))),0)     +     IFERROR('Liste des effets'!$D$10*VALUE(MID(N250,SEARCH('Liste des effets'!$B$10,N250)+LEN('Liste des effets'!$B$10)+1,SEARCH(",",N250,SEARCH('Liste des effets'!$B$10,N250))-(SEARCH('Liste des effets'!$B$10,N250)+LEN('Liste des effets'!$B$10)+1))),0)     +     IFERROR('Liste des effets'!$D$11*VALUE(MID(N250,SEARCH('Liste des effets'!$B$11,N250)+LEN('Liste des effets'!$B$11)+1,SEARCH(",",N250,SEARCH('Liste des effets'!$B$11,N250))-(SEARCH('Liste des effets'!$B$11,N250)+LEN('Liste des effets'!$B$11)+1))),0)     +     IFERROR('Liste des effets'!$D$12*VALUE(MID(N250,SEARCH('Liste des effets'!$B$12,N250)+LEN('Liste des effets'!$B$12)+1,SEARCH(",",N250,SEARCH('Liste des effets'!$B$12,N250))-(SEARCH('Liste des effets'!$B$12,N250)+LEN('Liste des effets'!$B$12)+1))),0)     +     IFERROR('Liste des effets'!$D$13*VALUE(MID(N250,SEARCH('Liste des effets'!$B$13,N250)+LEN('Liste des effets'!$B$13)+1,SEARCH(",",N250,SEARCH('Liste des effets'!$B$13,N250))-(SEARCH('Liste des effets'!$B$13,N250)+LEN('Liste des effets'!$B$13)+1))),0)     +     IFERROR('Liste des effets'!$D$14*VALUE(MID(N250,SEARCH('Liste des effets'!$B$14,N250)+LEN('Liste des effets'!$B$14)+1,SEARCH(",",N250,SEARCH('Liste des effets'!$B$14,N250))-(SEARCH('Liste des effets'!$B$14,N250)+LEN('Liste des effets'!$B$14)+1))),0)     +     IFERROR('Liste des effets'!$D$15*VALUE(MID(N250,SEARCH('Liste des effets'!$B$15,N250)+LEN('Liste des effets'!$B$15)+1,SEARCH(",",N250,SEARCH('Liste des effets'!$B$15,N250))-(SEARCH('Liste des effets'!$B$15,N250)+LEN('Liste des effets'!$B$15)+1))),0)     +     'Liste des effets'!$D$16*IF(IFERROR(SEARCH('Liste des effets'!$B$16,N250),0)&gt;0,1,0)     +     'Liste des effets'!$D$17*IF(IFERROR(SEARCH('Liste des effets'!$B$17,N250),0)&gt;0,1,0)     +     'Liste des effets'!$D$18*IF(IFERROR(SEARCH('Liste des effets'!$B$18,N250),0)&gt;0,1,0)     +     'Liste des effets'!$D$19*IF(IFERROR(SEARCH('Liste des effets'!$B$19,N250),0)&gt;0,1,0)      +     IF(IFERROR(SEARCH('Liste des effets'!$B$20,N250),0)&gt;0,1,0)    *     IF(N248='Equilibrage de base des sorts'!$B$5,'Equilibrage de base des sorts'!$C$9,0)      +     IF(IFERROR(SEARCH('Liste des effets'!$B$20,N250),0)&gt;0,1,0)    *     IF(N248='Equilibrage de base des sorts'!$B$10,'Equilibrage de base des sorts'!$C$14,0)      +     IF(IFERROR(SEARCH('Liste des effets'!$B$20,N250),0)&gt;0,1,0)    *     IF(N248='Equilibrage de base des sorts'!$B$15,'Equilibrage de base des sorts'!$C$19,0)      +     IF(IFERROR(SEARCH('Liste des effets'!$B$20,N250),0)&gt;0,1,0)    *     IF(N248='Equilibrage de base des sorts'!$B$20,'Equilibrage de base des sorts'!$C$24,0)</f>
        <v>20</v>
      </c>
    </row>
    <row r="252" spans="2:18" x14ac:dyDescent="0.25">
      <c r="B252" s="25"/>
      <c r="C252" s="26"/>
      <c r="E252" s="2" t="s">
        <v>53</v>
      </c>
      <c r="F252" s="2">
        <f>F249+F250+F251</f>
        <v>10</v>
      </c>
      <c r="H252" s="25"/>
      <c r="I252" s="26"/>
      <c r="K252" s="2" t="s">
        <v>53</v>
      </c>
      <c r="L252" s="2">
        <f>L249+L250+L251</f>
        <v>10</v>
      </c>
      <c r="N252" s="25"/>
      <c r="O252" s="26"/>
      <c r="Q252" s="2" t="s">
        <v>53</v>
      </c>
      <c r="R252" s="2">
        <f>R249+R250+R251</f>
        <v>9</v>
      </c>
    </row>
    <row r="253" spans="2:18" ht="15.75" thickBot="1" x14ac:dyDescent="0.3">
      <c r="B253" s="27"/>
      <c r="C253" s="28"/>
      <c r="H253" s="27"/>
      <c r="I253" s="28"/>
      <c r="N253" s="27"/>
      <c r="O253" s="28"/>
    </row>
    <row r="254" spans="2:18" ht="15.75" thickBot="1" x14ac:dyDescent="0.3"/>
    <row r="255" spans="2:18" ht="18.75" x14ac:dyDescent="0.25">
      <c r="B255" s="19" t="s">
        <v>168</v>
      </c>
      <c r="C255" s="20"/>
      <c r="H255" s="19" t="s">
        <v>173</v>
      </c>
      <c r="I255" s="20"/>
    </row>
    <row r="256" spans="2:18" x14ac:dyDescent="0.25">
      <c r="B256" s="9" t="s">
        <v>50</v>
      </c>
      <c r="C256" s="10" t="s">
        <v>125</v>
      </c>
      <c r="E256" s="21" t="s">
        <v>54</v>
      </c>
      <c r="F256" s="22"/>
      <c r="H256" s="9" t="s">
        <v>50</v>
      </c>
      <c r="I256" s="10" t="s">
        <v>125</v>
      </c>
      <c r="K256" s="21" t="s">
        <v>54</v>
      </c>
      <c r="L256" s="22"/>
    </row>
    <row r="257" spans="2:12" ht="15.75" thickBot="1" x14ac:dyDescent="0.3">
      <c r="B257" s="9">
        <v>5</v>
      </c>
      <c r="C257" s="14">
        <v>0</v>
      </c>
      <c r="E257" t="s">
        <v>37</v>
      </c>
      <c r="F257">
        <f>IF(B256='Equilibrage de base des sorts'!$B$5,'Equilibrage de base des sorts'!$C$7-B257,0)*'Equilibrage de base des sorts'!$C$8    +    IF(B256='Equilibrage de base des sorts'!$B$10,'Equilibrage de base des sorts'!$C$12-B257,0)*'Equilibrage de base des sorts'!$C$13    +    IF(B256='Equilibrage de base des sorts'!$B$15,'Equilibrage de base des sorts'!$C$17-B257,0)*'Equilibrage de base des sorts'!$C$18    +    IF(B256='Equilibrage de base des sorts'!$B$20,'Equilibrage de base des sorts'!$C$22-B257,0)*'Equilibrage de base des sorts'!$C$23</f>
        <v>0</v>
      </c>
      <c r="H257" s="9">
        <v>5</v>
      </c>
      <c r="I257" s="14">
        <v>0</v>
      </c>
      <c r="K257" t="s">
        <v>37</v>
      </c>
      <c r="L257">
        <f>IF(H256='Equilibrage de base des sorts'!$B$5,'Equilibrage de base des sorts'!$C$7-H257,0)*'Equilibrage de base des sorts'!$C$8    +    IF(H256='Equilibrage de base des sorts'!$B$10,'Equilibrage de base des sorts'!$C$12-H257,0)*'Equilibrage de base des sorts'!$C$13    +    IF(H256='Equilibrage de base des sorts'!$B$15,'Equilibrage de base des sorts'!$C$17-H257,0)*'Equilibrage de base des sorts'!$C$18    +    IF(H256='Equilibrage de base des sorts'!$B$20,'Equilibrage de base des sorts'!$C$22-H257,0)*'Equilibrage de base des sorts'!$C$23</f>
        <v>0</v>
      </c>
    </row>
    <row r="258" spans="2:12" x14ac:dyDescent="0.25">
      <c r="B258" s="23" t="s">
        <v>162</v>
      </c>
      <c r="C258" s="24"/>
      <c r="E258" t="s">
        <v>51</v>
      </c>
      <c r="F258">
        <f>-C257*5</f>
        <v>0</v>
      </c>
      <c r="H258" s="23" t="s">
        <v>216</v>
      </c>
      <c r="I258" s="24"/>
      <c r="K258" t="s">
        <v>51</v>
      </c>
      <c r="L258">
        <f>-I257*5</f>
        <v>0</v>
      </c>
    </row>
    <row r="259" spans="2:12" x14ac:dyDescent="0.25">
      <c r="B259" s="25"/>
      <c r="C259" s="26"/>
      <c r="E259" s="15" t="s">
        <v>52</v>
      </c>
      <c r="F259" s="15">
        <f>IFERROR('Liste des effets'!$D$5*VALUE(MID(B258,SEARCH('Liste des effets'!$B$5,B258)+LEN('Liste des effets'!$B$5)+1,SEARCH(",",B258,SEARCH('Liste des effets'!$B$5,B258))-(SEARCH('Liste des effets'!$B$5,B258)+LEN('Liste des effets'!$B$5)+1))),0)     +     IFERROR('Liste des effets'!$D$6*VALUE(MID(B258,SEARCH('Liste des effets'!$B$6,B258)+LEN('Liste des effets'!$B$6)+1,SEARCH(",",B258,SEARCH('Liste des effets'!$B$6,B258))-(SEARCH('Liste des effets'!$B$6,B258)+LEN('Liste des effets'!$B$6)+1))),0)     +     IFERROR('Liste des effets'!$D$7*VALUE(MID(B258,SEARCH('Liste des effets'!$B$7,B258)+LEN('Liste des effets'!$B$7)+1,SEARCH(",",B258,SEARCH('Liste des effets'!$B$7,B258))-(SEARCH('Liste des effets'!$B$7,B258)+LEN('Liste des effets'!$B$7)+1))),0)     +     IFERROR('Liste des effets'!$D$8*VALUE(MID(B258,SEARCH('Liste des effets'!$B$8,B258)+LEN('Liste des effets'!$B$8)+1,SEARCH(",",B258,SEARCH('Liste des effets'!$B$8,B258))-(SEARCH('Liste des effets'!$B$8,B258)+LEN('Liste des effets'!$B$8)+1))),0)     +     IFERROR('Liste des effets'!$D$9*VALUE(MID(B258,SEARCH('Liste des effets'!$B$9,B258)+LEN('Liste des effets'!$B$9)+1,SEARCH(",",B258,SEARCH('Liste des effets'!$B$9,B258))-(SEARCH('Liste des effets'!$B$9,B258)+LEN('Liste des effets'!$B$9)+1))),0)     +     IFERROR('Liste des effets'!$D$10*VALUE(MID(B258,SEARCH('Liste des effets'!$B$10,B258)+LEN('Liste des effets'!$B$10)+1,SEARCH(",",B258,SEARCH('Liste des effets'!$B$10,B258))-(SEARCH('Liste des effets'!$B$10,B258)+LEN('Liste des effets'!$B$10)+1))),0)     +     IFERROR('Liste des effets'!$D$11*VALUE(MID(B258,SEARCH('Liste des effets'!$B$11,B258)+LEN('Liste des effets'!$B$11)+1,SEARCH(",",B258,SEARCH('Liste des effets'!$B$11,B258))-(SEARCH('Liste des effets'!$B$11,B258)+LEN('Liste des effets'!$B$11)+1))),0)     +     IFERROR('Liste des effets'!$D$12*VALUE(MID(B258,SEARCH('Liste des effets'!$B$12,B258)+LEN('Liste des effets'!$B$12)+1,SEARCH(",",B258,SEARCH('Liste des effets'!$B$12,B258))-(SEARCH('Liste des effets'!$B$12,B258)+LEN('Liste des effets'!$B$12)+1))),0)     +     IFERROR('Liste des effets'!$D$13*VALUE(MID(B258,SEARCH('Liste des effets'!$B$13,B258)+LEN('Liste des effets'!$B$13)+1,SEARCH(",",B258,SEARCH('Liste des effets'!$B$13,B258))-(SEARCH('Liste des effets'!$B$13,B258)+LEN('Liste des effets'!$B$13)+1))),0)     +     IFERROR('Liste des effets'!$D$14*VALUE(MID(B258,SEARCH('Liste des effets'!$B$14,B258)+LEN('Liste des effets'!$B$14)+1,SEARCH(",",B258,SEARCH('Liste des effets'!$B$14,B258))-(SEARCH('Liste des effets'!$B$14,B258)+LEN('Liste des effets'!$B$14)+1))),0)     +     IFERROR('Liste des effets'!$D$15*VALUE(MID(B258,SEARCH('Liste des effets'!$B$15,B258)+LEN('Liste des effets'!$B$15)+1,SEARCH(",",B258,SEARCH('Liste des effets'!$B$15,B258))-(SEARCH('Liste des effets'!$B$15,B258)+LEN('Liste des effets'!$B$15)+1))),0)     +     'Liste des effets'!$D$16*IF(IFERROR(SEARCH('Liste des effets'!$B$16,B258),0)&gt;0,1,0)     +     'Liste des effets'!$D$17*IF(IFERROR(SEARCH('Liste des effets'!$B$17,B258),0)&gt;0,1,0)     +     'Liste des effets'!$D$18*IF(IFERROR(SEARCH('Liste des effets'!$B$18,B258),0)&gt;0,1,0)     +     'Liste des effets'!$D$19*IF(IFERROR(SEARCH('Liste des effets'!$B$19,B258),0)&gt;0,1,0)      +     IF(IFERROR(SEARCH('Liste des effets'!$B$20,B258),0)&gt;0,1,0)    *     IF(B256='Equilibrage de base des sorts'!$B$5,'Equilibrage de base des sorts'!$C$9,0)      +     IF(IFERROR(SEARCH('Liste des effets'!$B$20,B258),0)&gt;0,1,0)    *     IF(B256='Equilibrage de base des sorts'!$B$10,'Equilibrage de base des sorts'!$C$14,0)      +     IF(IFERROR(SEARCH('Liste des effets'!$B$20,B258),0)&gt;0,1,0)    *     IF(B256='Equilibrage de base des sorts'!$B$15,'Equilibrage de base des sorts'!$C$19,0)      +     IF(IFERROR(SEARCH('Liste des effets'!$B$20,B258),0)&gt;0,1,0)    *     IF(B256='Equilibrage de base des sorts'!$B$20,'Equilibrage de base des sorts'!$C$24,0)</f>
        <v>10</v>
      </c>
      <c r="H259" s="25"/>
      <c r="I259" s="26"/>
      <c r="K259" s="15" t="s">
        <v>52</v>
      </c>
      <c r="L259" s="15">
        <f>IFERROR('Liste des effets'!$D$5*VALUE(MID(H258,SEARCH('Liste des effets'!$B$5,H258)+LEN('Liste des effets'!$B$5)+1,SEARCH(",",H258,SEARCH('Liste des effets'!$B$5,H258))-(SEARCH('Liste des effets'!$B$5,H258)+LEN('Liste des effets'!$B$5)+1))),0)     +     IFERROR('Liste des effets'!$D$6*VALUE(MID(H258,SEARCH('Liste des effets'!$B$6,H258)+LEN('Liste des effets'!$B$6)+1,SEARCH(",",H258,SEARCH('Liste des effets'!$B$6,H258))-(SEARCH('Liste des effets'!$B$6,H258)+LEN('Liste des effets'!$B$6)+1))),0)     +     IFERROR('Liste des effets'!$D$7*VALUE(MID(H258,SEARCH('Liste des effets'!$B$7,H258)+LEN('Liste des effets'!$B$7)+1,SEARCH(",",H258,SEARCH('Liste des effets'!$B$7,H258))-(SEARCH('Liste des effets'!$B$7,H258)+LEN('Liste des effets'!$B$7)+1))),0)     +     IFERROR('Liste des effets'!$D$8*VALUE(MID(H258,SEARCH('Liste des effets'!$B$8,H258)+LEN('Liste des effets'!$B$8)+1,SEARCH(",",H258,SEARCH('Liste des effets'!$B$8,H258))-(SEARCH('Liste des effets'!$B$8,H258)+LEN('Liste des effets'!$B$8)+1))),0)     +     IFERROR('Liste des effets'!$D$9*VALUE(MID(H258,SEARCH('Liste des effets'!$B$9,H258)+LEN('Liste des effets'!$B$9)+1,SEARCH(",",H258,SEARCH('Liste des effets'!$B$9,H258))-(SEARCH('Liste des effets'!$B$9,H258)+LEN('Liste des effets'!$B$9)+1))),0)     +     IFERROR('Liste des effets'!$D$10*VALUE(MID(H258,SEARCH('Liste des effets'!$B$10,H258)+LEN('Liste des effets'!$B$10)+1,SEARCH(",",H258,SEARCH('Liste des effets'!$B$10,H258))-(SEARCH('Liste des effets'!$B$10,H258)+LEN('Liste des effets'!$B$10)+1))),0)     +     IFERROR('Liste des effets'!$D$11*VALUE(MID(H258,SEARCH('Liste des effets'!$B$11,H258)+LEN('Liste des effets'!$B$11)+1,SEARCH(",",H258,SEARCH('Liste des effets'!$B$11,H258))-(SEARCH('Liste des effets'!$B$11,H258)+LEN('Liste des effets'!$B$11)+1))),0)     +     IFERROR('Liste des effets'!$D$12*VALUE(MID(H258,SEARCH('Liste des effets'!$B$12,H258)+LEN('Liste des effets'!$B$12)+1,SEARCH(",",H258,SEARCH('Liste des effets'!$B$12,H258))-(SEARCH('Liste des effets'!$B$12,H258)+LEN('Liste des effets'!$B$12)+1))),0)     +     IFERROR('Liste des effets'!$D$13*VALUE(MID(H258,SEARCH('Liste des effets'!$B$13,H258)+LEN('Liste des effets'!$B$13)+1,SEARCH(",",H258,SEARCH('Liste des effets'!$B$13,H258))-(SEARCH('Liste des effets'!$B$13,H258)+LEN('Liste des effets'!$B$13)+1))),0)     +     IFERROR('Liste des effets'!$D$14*VALUE(MID(H258,SEARCH('Liste des effets'!$B$14,H258)+LEN('Liste des effets'!$B$14)+1,SEARCH(",",H258,SEARCH('Liste des effets'!$B$14,H258))-(SEARCH('Liste des effets'!$B$14,H258)+LEN('Liste des effets'!$B$14)+1))),0)     +     IFERROR('Liste des effets'!$D$15*VALUE(MID(H258,SEARCH('Liste des effets'!$B$15,H258)+LEN('Liste des effets'!$B$15)+1,SEARCH(",",H258,SEARCH('Liste des effets'!$B$15,H258))-(SEARCH('Liste des effets'!$B$15,H258)+LEN('Liste des effets'!$B$15)+1))),0)     +     'Liste des effets'!$D$16*IF(IFERROR(SEARCH('Liste des effets'!$B$16,H258),0)&gt;0,1,0)     +     'Liste des effets'!$D$17*IF(IFERROR(SEARCH('Liste des effets'!$B$17,H258),0)&gt;0,1,0)     +     'Liste des effets'!$D$18*IF(IFERROR(SEARCH('Liste des effets'!$B$18,H258),0)&gt;0,1,0)     +     'Liste des effets'!$D$19*IF(IFERROR(SEARCH('Liste des effets'!$B$19,H258),0)&gt;0,1,0)      +     IF(IFERROR(SEARCH('Liste des effets'!$B$20,H258),0)&gt;0,1,0)    *     IF(H256='Equilibrage de base des sorts'!$B$5,'Equilibrage de base des sorts'!$C$9,0)      +     IF(IFERROR(SEARCH('Liste des effets'!$B$20,H258),0)&gt;0,1,0)    *     IF(H256='Equilibrage de base des sorts'!$B$10,'Equilibrage de base des sorts'!$C$14,0)      +     IF(IFERROR(SEARCH('Liste des effets'!$B$20,H258),0)&gt;0,1,0)    *     IF(H256='Equilibrage de base des sorts'!$B$15,'Equilibrage de base des sorts'!$C$19,0)      +     IF(IFERROR(SEARCH('Liste des effets'!$B$20,H258),0)&gt;0,1,0)    *     IF(H256='Equilibrage de base des sorts'!$B$20,'Equilibrage de base des sorts'!$C$24,0)</f>
        <v>10</v>
      </c>
    </row>
    <row r="260" spans="2:12" x14ac:dyDescent="0.25">
      <c r="B260" s="25"/>
      <c r="C260" s="26"/>
      <c r="E260" s="2" t="s">
        <v>53</v>
      </c>
      <c r="F260" s="2">
        <f>F257+F258+F259</f>
        <v>10</v>
      </c>
      <c r="H260" s="25"/>
      <c r="I260" s="26"/>
      <c r="K260" s="2" t="s">
        <v>53</v>
      </c>
      <c r="L260" s="2">
        <f>L257+L258+L259</f>
        <v>10</v>
      </c>
    </row>
    <row r="261" spans="2:12" ht="15.75" thickBot="1" x14ac:dyDescent="0.3">
      <c r="B261" s="27"/>
      <c r="C261" s="28"/>
      <c r="H261" s="27"/>
      <c r="I261" s="28"/>
    </row>
    <row r="263" spans="2:12" ht="18" thickBot="1" x14ac:dyDescent="0.35">
      <c r="B263" s="48" t="s">
        <v>175</v>
      </c>
      <c r="C263" s="48"/>
    </row>
    <row r="264" spans="2:12" ht="16.5" thickTop="1" thickBot="1" x14ac:dyDescent="0.3"/>
    <row r="265" spans="2:12" ht="18.75" x14ac:dyDescent="0.25">
      <c r="B265" s="19" t="s">
        <v>206</v>
      </c>
      <c r="C265" s="20"/>
    </row>
    <row r="266" spans="2:12" x14ac:dyDescent="0.25">
      <c r="B266" s="9" t="s">
        <v>44</v>
      </c>
      <c r="C266" s="10" t="s">
        <v>129</v>
      </c>
      <c r="E266" s="21" t="s">
        <v>54</v>
      </c>
      <c r="F266" s="22"/>
    </row>
    <row r="267" spans="2:12" ht="15.75" thickBot="1" x14ac:dyDescent="0.3">
      <c r="B267" s="9">
        <v>4</v>
      </c>
      <c r="C267" s="14">
        <v>2</v>
      </c>
      <c r="E267" t="s">
        <v>37</v>
      </c>
      <c r="F267">
        <f>IF(B266='Equilibrage de base des sorts'!$B$5,'Equilibrage de base des sorts'!$C$7-B267,0)*'Equilibrage de base des sorts'!$C$8    +    IF(B266='Equilibrage de base des sorts'!$B$10,'Equilibrage de base des sorts'!$C$12-B267,0)*'Equilibrage de base des sorts'!$C$13    +    IF(B266='Equilibrage de base des sorts'!$B$15,'Equilibrage de base des sorts'!$C$17-B267,0)*'Equilibrage de base des sorts'!$C$18    +    IF(B266='Equilibrage de base des sorts'!$B$20,'Equilibrage de base des sorts'!$C$22-B267,0)*'Equilibrage de base des sorts'!$C$23</f>
        <v>0</v>
      </c>
    </row>
    <row r="268" spans="2:12" x14ac:dyDescent="0.25">
      <c r="B268" s="23" t="s">
        <v>207</v>
      </c>
      <c r="C268" s="24"/>
      <c r="E268" t="s">
        <v>51</v>
      </c>
      <c r="F268">
        <f>-C267*5</f>
        <v>-10</v>
      </c>
    </row>
    <row r="269" spans="2:12" x14ac:dyDescent="0.25">
      <c r="B269" s="25"/>
      <c r="C269" s="26"/>
      <c r="E269" s="15" t="s">
        <v>52</v>
      </c>
      <c r="F269" s="15">
        <f>IFERROR('Liste des effets'!$D$5*VALUE(MID(B268,SEARCH('Liste des effets'!$B$5,B268)+LEN('Liste des effets'!$B$5)+1,SEARCH(",",B268,SEARCH('Liste des effets'!$B$5,B268))-(SEARCH('Liste des effets'!$B$5,B268)+LEN('Liste des effets'!$B$5)+1))),0)     +     IFERROR('Liste des effets'!$D$6*VALUE(MID(B268,SEARCH('Liste des effets'!$B$6,B268)+LEN('Liste des effets'!$B$6)+1,SEARCH(",",B268,SEARCH('Liste des effets'!$B$6,B268))-(SEARCH('Liste des effets'!$B$6,B268)+LEN('Liste des effets'!$B$6)+1))),0)     +     IFERROR('Liste des effets'!$D$7*VALUE(MID(B268,SEARCH('Liste des effets'!$B$7,B268)+LEN('Liste des effets'!$B$7)+1,SEARCH(",",B268,SEARCH('Liste des effets'!$B$7,B268))-(SEARCH('Liste des effets'!$B$7,B268)+LEN('Liste des effets'!$B$7)+1))),0)     +     IFERROR('Liste des effets'!$D$8*VALUE(MID(B268,SEARCH('Liste des effets'!$B$8,B268)+LEN('Liste des effets'!$B$8)+1,SEARCH(",",B268,SEARCH('Liste des effets'!$B$8,B268))-(SEARCH('Liste des effets'!$B$8,B268)+LEN('Liste des effets'!$B$8)+1))),0)     +     IFERROR('Liste des effets'!$D$9*VALUE(MID(B268,SEARCH('Liste des effets'!$B$9,B268)+LEN('Liste des effets'!$B$9)+1,SEARCH(",",B268,SEARCH('Liste des effets'!$B$9,B268))-(SEARCH('Liste des effets'!$B$9,B268)+LEN('Liste des effets'!$B$9)+1))),0)     +     IFERROR('Liste des effets'!$D$10*VALUE(MID(B268,SEARCH('Liste des effets'!$B$10,B268)+LEN('Liste des effets'!$B$10)+1,SEARCH(",",B268,SEARCH('Liste des effets'!$B$10,B268))-(SEARCH('Liste des effets'!$B$10,B268)+LEN('Liste des effets'!$B$10)+1))),0)     +     IFERROR('Liste des effets'!$D$11*VALUE(MID(B268,SEARCH('Liste des effets'!$B$11,B268)+LEN('Liste des effets'!$B$11)+1,SEARCH(",",B268,SEARCH('Liste des effets'!$B$11,B268))-(SEARCH('Liste des effets'!$B$11,B268)+LEN('Liste des effets'!$B$11)+1))),0)     +     IFERROR('Liste des effets'!$D$12*VALUE(MID(B268,SEARCH('Liste des effets'!$B$12,B268)+LEN('Liste des effets'!$B$12)+1,SEARCH(",",B268,SEARCH('Liste des effets'!$B$12,B268))-(SEARCH('Liste des effets'!$B$12,B268)+LEN('Liste des effets'!$B$12)+1))),0)     +     IFERROR('Liste des effets'!$D$13*VALUE(MID(B268,SEARCH('Liste des effets'!$B$13,B268)+LEN('Liste des effets'!$B$13)+1,SEARCH(",",B268,SEARCH('Liste des effets'!$B$13,B268))-(SEARCH('Liste des effets'!$B$13,B268)+LEN('Liste des effets'!$B$13)+1))),0)     +     IFERROR('Liste des effets'!$D$14*VALUE(MID(B268,SEARCH('Liste des effets'!$B$14,B268)+LEN('Liste des effets'!$B$14)+1,SEARCH(",",B268,SEARCH('Liste des effets'!$B$14,B268))-(SEARCH('Liste des effets'!$B$14,B268)+LEN('Liste des effets'!$B$14)+1))),0)     +     IFERROR('Liste des effets'!$D$15*VALUE(MID(B268,SEARCH('Liste des effets'!$B$15,B268)+LEN('Liste des effets'!$B$15)+1,SEARCH(",",B268,SEARCH('Liste des effets'!$B$15,B268))-(SEARCH('Liste des effets'!$B$15,B268)+LEN('Liste des effets'!$B$15)+1))),0)     +     'Liste des effets'!$D$16*IF(IFERROR(SEARCH('Liste des effets'!$B$16,B268),0)&gt;0,1,0)     +     'Liste des effets'!$D$17*IF(IFERROR(SEARCH('Liste des effets'!$B$17,B268),0)&gt;0,1,0)     +     'Liste des effets'!$D$18*IF(IFERROR(SEARCH('Liste des effets'!$B$18,B268),0)&gt;0,1,0)     +     'Liste des effets'!$D$19*IF(IFERROR(SEARCH('Liste des effets'!$B$19,B268),0)&gt;0,1,0)      +     IF(IFERROR(SEARCH('Liste des effets'!$B$20,B268),0)&gt;0,1,0)    *     IF(B266='Equilibrage de base des sorts'!$B$5,'Equilibrage de base des sorts'!$C$9,0)      +     IF(IFERROR(SEARCH('Liste des effets'!$B$20,B268),0)&gt;0,1,0)    *     IF(B266='Equilibrage de base des sorts'!$B$10,'Equilibrage de base des sorts'!$C$14,0)      +     IF(IFERROR(SEARCH('Liste des effets'!$B$20,B268),0)&gt;0,1,0)    *     IF(B266='Equilibrage de base des sorts'!$B$15,'Equilibrage de base des sorts'!$C$19,0)      +     IF(IFERROR(SEARCH('Liste des effets'!$B$20,B268),0)&gt;0,1,0)    *     IF(B266='Equilibrage de base des sorts'!$B$20,'Equilibrage de base des sorts'!$C$24,0)</f>
        <v>30</v>
      </c>
    </row>
    <row r="270" spans="2:12" x14ac:dyDescent="0.25">
      <c r="B270" s="25"/>
      <c r="C270" s="26"/>
      <c r="E270" s="2" t="s">
        <v>53</v>
      </c>
      <c r="F270" s="2">
        <f>F267+F268+F269</f>
        <v>20</v>
      </c>
    </row>
    <row r="271" spans="2:12" ht="15.75" thickBot="1" x14ac:dyDescent="0.3">
      <c r="B271" s="27"/>
      <c r="C271" s="28"/>
    </row>
    <row r="272" spans="2:12" ht="15.75" thickBot="1" x14ac:dyDescent="0.3"/>
    <row r="273" spans="2:6" ht="18.75" x14ac:dyDescent="0.25">
      <c r="B273" s="19" t="s">
        <v>208</v>
      </c>
      <c r="C273" s="20"/>
    </row>
    <row r="274" spans="2:6" x14ac:dyDescent="0.25">
      <c r="B274" s="9" t="s">
        <v>48</v>
      </c>
      <c r="C274" s="10" t="s">
        <v>129</v>
      </c>
      <c r="E274" s="21" t="s">
        <v>54</v>
      </c>
      <c r="F274" s="22"/>
    </row>
    <row r="275" spans="2:6" ht="15.75" thickBot="1" x14ac:dyDescent="0.3">
      <c r="B275" s="9">
        <v>5</v>
      </c>
      <c r="C275" s="14">
        <v>5</v>
      </c>
      <c r="E275" t="s">
        <v>37</v>
      </c>
      <c r="F275">
        <f>IF(B274='Equilibrage de base des sorts'!$B$5,'Equilibrage de base des sorts'!$C$7-B275,0)*'Equilibrage de base des sorts'!$C$8    +    IF(B274='Equilibrage de base des sorts'!$B$10,'Equilibrage de base des sorts'!$C$12-B275,0)*'Equilibrage de base des sorts'!$C$13    +    IF(B274='Equilibrage de base des sorts'!$B$15,'Equilibrage de base des sorts'!$C$17-B275,0)*'Equilibrage de base des sorts'!$C$18    +    IF(B274='Equilibrage de base des sorts'!$B$20,'Equilibrage de base des sorts'!$C$22-B275,0)*'Equilibrage de base des sorts'!$C$23</f>
        <v>-4</v>
      </c>
    </row>
    <row r="276" spans="2:6" x14ac:dyDescent="0.25">
      <c r="B276" s="23" t="s">
        <v>209</v>
      </c>
      <c r="C276" s="24"/>
      <c r="E276" t="s">
        <v>51</v>
      </c>
      <c r="F276">
        <f>-C275*5</f>
        <v>-25</v>
      </c>
    </row>
    <row r="277" spans="2:6" x14ac:dyDescent="0.25">
      <c r="B277" s="25"/>
      <c r="C277" s="26"/>
      <c r="E277" s="15" t="s">
        <v>52</v>
      </c>
      <c r="F277" s="15">
        <f>IFERROR('Liste des effets'!$D$5*VALUE(MID(B276,SEARCH('Liste des effets'!$B$5,B276)+LEN('Liste des effets'!$B$5)+1,SEARCH(",",B276,SEARCH('Liste des effets'!$B$5,B276))-(SEARCH('Liste des effets'!$B$5,B276)+LEN('Liste des effets'!$B$5)+1))),0)     +     IFERROR('Liste des effets'!$D$6*VALUE(MID(B276,SEARCH('Liste des effets'!$B$6,B276)+LEN('Liste des effets'!$B$6)+1,SEARCH(",",B276,SEARCH('Liste des effets'!$B$6,B276))-(SEARCH('Liste des effets'!$B$6,B276)+LEN('Liste des effets'!$B$6)+1))),0)     +     IFERROR('Liste des effets'!$D$7*VALUE(MID(B276,SEARCH('Liste des effets'!$B$7,B276)+LEN('Liste des effets'!$B$7)+1,SEARCH(",",B276,SEARCH('Liste des effets'!$B$7,B276))-(SEARCH('Liste des effets'!$B$7,B276)+LEN('Liste des effets'!$B$7)+1))),0)     +     IFERROR('Liste des effets'!$D$8*VALUE(MID(B276,SEARCH('Liste des effets'!$B$8,B276)+LEN('Liste des effets'!$B$8)+1,SEARCH(",",B276,SEARCH('Liste des effets'!$B$8,B276))-(SEARCH('Liste des effets'!$B$8,B276)+LEN('Liste des effets'!$B$8)+1))),0)     +     IFERROR('Liste des effets'!$D$9*VALUE(MID(B276,SEARCH('Liste des effets'!$B$9,B276)+LEN('Liste des effets'!$B$9)+1,SEARCH(",",B276,SEARCH('Liste des effets'!$B$9,B276))-(SEARCH('Liste des effets'!$B$9,B276)+LEN('Liste des effets'!$B$9)+1))),0)     +     IFERROR('Liste des effets'!$D$10*VALUE(MID(B276,SEARCH('Liste des effets'!$B$10,B276)+LEN('Liste des effets'!$B$10)+1,SEARCH(",",B276,SEARCH('Liste des effets'!$B$10,B276))-(SEARCH('Liste des effets'!$B$10,B276)+LEN('Liste des effets'!$B$10)+1))),0)     +     IFERROR('Liste des effets'!$D$11*VALUE(MID(B276,SEARCH('Liste des effets'!$B$11,B276)+LEN('Liste des effets'!$B$11)+1,SEARCH(",",B276,SEARCH('Liste des effets'!$B$11,B276))-(SEARCH('Liste des effets'!$B$11,B276)+LEN('Liste des effets'!$B$11)+1))),0)     +     IFERROR('Liste des effets'!$D$12*VALUE(MID(B276,SEARCH('Liste des effets'!$B$12,B276)+LEN('Liste des effets'!$B$12)+1,SEARCH(",",B276,SEARCH('Liste des effets'!$B$12,B276))-(SEARCH('Liste des effets'!$B$12,B276)+LEN('Liste des effets'!$B$12)+1))),0)     +     IFERROR('Liste des effets'!$D$13*VALUE(MID(B276,SEARCH('Liste des effets'!$B$13,B276)+LEN('Liste des effets'!$B$13)+1,SEARCH(",",B276,SEARCH('Liste des effets'!$B$13,B276))-(SEARCH('Liste des effets'!$B$13,B276)+LEN('Liste des effets'!$B$13)+1))),0)     +     IFERROR('Liste des effets'!$D$14*VALUE(MID(B276,SEARCH('Liste des effets'!$B$14,B276)+LEN('Liste des effets'!$B$14)+1,SEARCH(",",B276,SEARCH('Liste des effets'!$B$14,B276))-(SEARCH('Liste des effets'!$B$14,B276)+LEN('Liste des effets'!$B$14)+1))),0)     +     IFERROR('Liste des effets'!$D$15*VALUE(MID(B276,SEARCH('Liste des effets'!$B$15,B276)+LEN('Liste des effets'!$B$15)+1,SEARCH(",",B276,SEARCH('Liste des effets'!$B$15,B276))-(SEARCH('Liste des effets'!$B$15,B276)+LEN('Liste des effets'!$B$15)+1))),0)     +     'Liste des effets'!$D$16*IF(IFERROR(SEARCH('Liste des effets'!$B$16,B276),0)&gt;0,1,0)     +     'Liste des effets'!$D$17*IF(IFERROR(SEARCH('Liste des effets'!$B$17,B276),0)&gt;0,1,0)     +     'Liste des effets'!$D$18*IF(IFERROR(SEARCH('Liste des effets'!$B$18,B276),0)&gt;0,1,0)     +     'Liste des effets'!$D$19*IF(IFERROR(SEARCH('Liste des effets'!$B$19,B276),0)&gt;0,1,0)      +     IF(IFERROR(SEARCH('Liste des effets'!$B$20,B276),0)&gt;0,1,0)    *     IF(B274='Equilibrage de base des sorts'!$B$5,'Equilibrage de base des sorts'!$C$9,0)      +     IF(IFERROR(SEARCH('Liste des effets'!$B$20,B276),0)&gt;0,1,0)    *     IF(B274='Equilibrage de base des sorts'!$B$10,'Equilibrage de base des sorts'!$C$14,0)      +     IF(IFERROR(SEARCH('Liste des effets'!$B$20,B276),0)&gt;0,1,0)    *     IF(B274='Equilibrage de base des sorts'!$B$15,'Equilibrage de base des sorts'!$C$19,0)      +     IF(IFERROR(SEARCH('Liste des effets'!$B$20,B276),0)&gt;0,1,0)    *     IF(B274='Equilibrage de base des sorts'!$B$20,'Equilibrage de base des sorts'!$C$24,0)</f>
        <v>50</v>
      </c>
    </row>
    <row r="278" spans="2:6" x14ac:dyDescent="0.25">
      <c r="B278" s="25"/>
      <c r="C278" s="26"/>
      <c r="E278" s="2" t="s">
        <v>53</v>
      </c>
      <c r="F278" s="2">
        <f>F275+F276+F277</f>
        <v>21</v>
      </c>
    </row>
    <row r="279" spans="2:6" ht="15.75" thickBot="1" x14ac:dyDescent="0.3">
      <c r="B279" s="27"/>
      <c r="C279" s="28"/>
    </row>
    <row r="280" spans="2:6" ht="15.75" thickBot="1" x14ac:dyDescent="0.3"/>
    <row r="281" spans="2:6" ht="18.75" x14ac:dyDescent="0.25">
      <c r="B281" s="19" t="s">
        <v>204</v>
      </c>
      <c r="C281" s="20"/>
    </row>
    <row r="282" spans="2:6" x14ac:dyDescent="0.25">
      <c r="B282" s="9" t="s">
        <v>49</v>
      </c>
      <c r="C282" s="10" t="s">
        <v>129</v>
      </c>
      <c r="E282" s="21" t="s">
        <v>54</v>
      </c>
      <c r="F282" s="22"/>
    </row>
    <row r="283" spans="2:6" ht="15.75" thickBot="1" x14ac:dyDescent="0.3">
      <c r="B283" s="9">
        <v>4</v>
      </c>
      <c r="C283" s="14">
        <v>4</v>
      </c>
      <c r="E283" t="s">
        <v>37</v>
      </c>
      <c r="F283">
        <f>IF(B282='Equilibrage de base des sorts'!$B$5,'Equilibrage de base des sorts'!$C$7-B283,0)*'Equilibrage de base des sorts'!$C$8    +    IF(B282='Equilibrage de base des sorts'!$B$10,'Equilibrage de base des sorts'!$C$12-B283,0)*'Equilibrage de base des sorts'!$C$13    +    IF(B282='Equilibrage de base des sorts'!$B$15,'Equilibrage de base des sorts'!$C$17-B283,0)*'Equilibrage de base des sorts'!$C$18    +    IF(B282='Equilibrage de base des sorts'!$B$20,'Equilibrage de base des sorts'!$C$22-B283,0)*'Equilibrage de base des sorts'!$C$23</f>
        <v>0</v>
      </c>
    </row>
    <row r="284" spans="2:6" x14ac:dyDescent="0.25">
      <c r="B284" s="23" t="s">
        <v>205</v>
      </c>
      <c r="C284" s="24"/>
      <c r="E284" t="s">
        <v>51</v>
      </c>
      <c r="F284">
        <f>-C283*5</f>
        <v>-20</v>
      </c>
    </row>
    <row r="285" spans="2:6" x14ac:dyDescent="0.25">
      <c r="B285" s="25"/>
      <c r="C285" s="26"/>
      <c r="E285" s="15" t="s">
        <v>52</v>
      </c>
      <c r="F285" s="15">
        <f>IFERROR('Liste des effets'!$D$5*VALUE(MID(B284,SEARCH('Liste des effets'!$B$5,B284)+LEN('Liste des effets'!$B$5)+1,SEARCH(",",B284,SEARCH('Liste des effets'!$B$5,B284))-(SEARCH('Liste des effets'!$B$5,B284)+LEN('Liste des effets'!$B$5)+1))),0)     +     IFERROR('Liste des effets'!$D$6*VALUE(MID(B284,SEARCH('Liste des effets'!$B$6,B284)+LEN('Liste des effets'!$B$6)+1,SEARCH(",",B284,SEARCH('Liste des effets'!$B$6,B284))-(SEARCH('Liste des effets'!$B$6,B284)+LEN('Liste des effets'!$B$6)+1))),0)     +     IFERROR('Liste des effets'!$D$7*VALUE(MID(B284,SEARCH('Liste des effets'!$B$7,B284)+LEN('Liste des effets'!$B$7)+1,SEARCH(",",B284,SEARCH('Liste des effets'!$B$7,B284))-(SEARCH('Liste des effets'!$B$7,B284)+LEN('Liste des effets'!$B$7)+1))),0)     +     IFERROR('Liste des effets'!$D$8*VALUE(MID(B284,SEARCH('Liste des effets'!$B$8,B284)+LEN('Liste des effets'!$B$8)+1,SEARCH(",",B284,SEARCH('Liste des effets'!$B$8,B284))-(SEARCH('Liste des effets'!$B$8,B284)+LEN('Liste des effets'!$B$8)+1))),0)     +     IFERROR('Liste des effets'!$D$9*VALUE(MID(B284,SEARCH('Liste des effets'!$B$9,B284)+LEN('Liste des effets'!$B$9)+1,SEARCH(",",B284,SEARCH('Liste des effets'!$B$9,B284))-(SEARCH('Liste des effets'!$B$9,B284)+LEN('Liste des effets'!$B$9)+1))),0)     +     IFERROR('Liste des effets'!$D$10*VALUE(MID(B284,SEARCH('Liste des effets'!$B$10,B284)+LEN('Liste des effets'!$B$10)+1,SEARCH(",",B284,SEARCH('Liste des effets'!$B$10,B284))-(SEARCH('Liste des effets'!$B$10,B284)+LEN('Liste des effets'!$B$10)+1))),0)     +     IFERROR('Liste des effets'!$D$11*VALUE(MID(B284,SEARCH('Liste des effets'!$B$11,B284)+LEN('Liste des effets'!$B$11)+1,SEARCH(",",B284,SEARCH('Liste des effets'!$B$11,B284))-(SEARCH('Liste des effets'!$B$11,B284)+LEN('Liste des effets'!$B$11)+1))),0)     +     IFERROR('Liste des effets'!$D$12*VALUE(MID(B284,SEARCH('Liste des effets'!$B$12,B284)+LEN('Liste des effets'!$B$12)+1,SEARCH(",",B284,SEARCH('Liste des effets'!$B$12,B284))-(SEARCH('Liste des effets'!$B$12,B284)+LEN('Liste des effets'!$B$12)+1))),0)     +     IFERROR('Liste des effets'!$D$13*VALUE(MID(B284,SEARCH('Liste des effets'!$B$13,B284)+LEN('Liste des effets'!$B$13)+1,SEARCH(",",B284,SEARCH('Liste des effets'!$B$13,B284))-(SEARCH('Liste des effets'!$B$13,B284)+LEN('Liste des effets'!$B$13)+1))),0)     +     IFERROR('Liste des effets'!$D$14*VALUE(MID(B284,SEARCH('Liste des effets'!$B$14,B284)+LEN('Liste des effets'!$B$14)+1,SEARCH(",",B284,SEARCH('Liste des effets'!$B$14,B284))-(SEARCH('Liste des effets'!$B$14,B284)+LEN('Liste des effets'!$B$14)+1))),0)     +     IFERROR('Liste des effets'!$D$15*VALUE(MID(B284,SEARCH('Liste des effets'!$B$15,B284)+LEN('Liste des effets'!$B$15)+1,SEARCH(",",B284,SEARCH('Liste des effets'!$B$15,B284))-(SEARCH('Liste des effets'!$B$15,B284)+LEN('Liste des effets'!$B$15)+1))),0)     +     'Liste des effets'!$D$16*IF(IFERROR(SEARCH('Liste des effets'!$B$16,B284),0)&gt;0,1,0)     +     'Liste des effets'!$D$17*IF(IFERROR(SEARCH('Liste des effets'!$B$17,B284),0)&gt;0,1,0)     +     'Liste des effets'!$D$18*IF(IFERROR(SEARCH('Liste des effets'!$B$18,B284),0)&gt;0,1,0)     +     'Liste des effets'!$D$19*IF(IFERROR(SEARCH('Liste des effets'!$B$19,B284),0)&gt;0,1,0)      +     IF(IFERROR(SEARCH('Liste des effets'!$B$20,B284),0)&gt;0,1,0)    *     IF(B282='Equilibrage de base des sorts'!$B$5,'Equilibrage de base des sorts'!$C$9,0)      +     IF(IFERROR(SEARCH('Liste des effets'!$B$20,B284),0)&gt;0,1,0)    *     IF(B282='Equilibrage de base des sorts'!$B$10,'Equilibrage de base des sorts'!$C$14,0)      +     IF(IFERROR(SEARCH('Liste des effets'!$B$20,B284),0)&gt;0,1,0)    *     IF(B282='Equilibrage de base des sorts'!$B$15,'Equilibrage de base des sorts'!$C$19,0)      +     IF(IFERROR(SEARCH('Liste des effets'!$B$20,B284),0)&gt;0,1,0)    *     IF(B282='Equilibrage de base des sorts'!$B$20,'Equilibrage de base des sorts'!$C$24,0)</f>
        <v>40</v>
      </c>
    </row>
    <row r="286" spans="2:6" x14ac:dyDescent="0.25">
      <c r="B286" s="25"/>
      <c r="C286" s="26"/>
      <c r="E286" s="2" t="s">
        <v>53</v>
      </c>
      <c r="F286" s="2">
        <f>F283+F284+F285</f>
        <v>20</v>
      </c>
    </row>
    <row r="287" spans="2:6" ht="15.75" thickBot="1" x14ac:dyDescent="0.3">
      <c r="B287" s="27"/>
      <c r="C287" s="28"/>
    </row>
    <row r="288" spans="2:6" ht="15.75" thickBot="1" x14ac:dyDescent="0.3"/>
    <row r="289" spans="2:6" ht="18.75" x14ac:dyDescent="0.25">
      <c r="B289" s="19" t="s">
        <v>202</v>
      </c>
      <c r="C289" s="20"/>
    </row>
    <row r="290" spans="2:6" x14ac:dyDescent="0.25">
      <c r="B290" s="9" t="s">
        <v>50</v>
      </c>
      <c r="C290" s="10" t="s">
        <v>125</v>
      </c>
      <c r="E290" s="21" t="s">
        <v>54</v>
      </c>
      <c r="F290" s="22"/>
    </row>
    <row r="291" spans="2:6" ht="15.75" thickBot="1" x14ac:dyDescent="0.3">
      <c r="B291" s="9">
        <v>5</v>
      </c>
      <c r="C291" s="14">
        <v>4</v>
      </c>
      <c r="E291" t="s">
        <v>37</v>
      </c>
      <c r="F291">
        <f>IF(B290='Equilibrage de base des sorts'!$B$5,'Equilibrage de base des sorts'!$C$7-B291,0)*'Equilibrage de base des sorts'!$C$8    +    IF(B290='Equilibrage de base des sorts'!$B$10,'Equilibrage de base des sorts'!$C$12-B291,0)*'Equilibrage de base des sorts'!$C$13    +    IF(B290='Equilibrage de base des sorts'!$B$15,'Equilibrage de base des sorts'!$C$17-B291,0)*'Equilibrage de base des sorts'!$C$18    +    IF(B290='Equilibrage de base des sorts'!$B$20,'Equilibrage de base des sorts'!$C$22-B291,0)*'Equilibrage de base des sorts'!$C$23</f>
        <v>0</v>
      </c>
    </row>
    <row r="292" spans="2:6" x14ac:dyDescent="0.25">
      <c r="B292" s="23" t="s">
        <v>203</v>
      </c>
      <c r="C292" s="24"/>
      <c r="E292" t="s">
        <v>51</v>
      </c>
      <c r="F292">
        <f>-C291*5</f>
        <v>-20</v>
      </c>
    </row>
    <row r="293" spans="2:6" x14ac:dyDescent="0.25">
      <c r="B293" s="25"/>
      <c r="C293" s="26"/>
      <c r="E293" s="15" t="s">
        <v>52</v>
      </c>
      <c r="F293" s="15">
        <f>IFERROR('Liste des effets'!$D$5*VALUE(MID(B292,SEARCH('Liste des effets'!$B$5,B292)+LEN('Liste des effets'!$B$5)+1,SEARCH(",",B292,SEARCH('Liste des effets'!$B$5,B292))-(SEARCH('Liste des effets'!$B$5,B292)+LEN('Liste des effets'!$B$5)+1))),0)     +     IFERROR('Liste des effets'!$D$6*VALUE(MID(B292,SEARCH('Liste des effets'!$B$6,B292)+LEN('Liste des effets'!$B$6)+1,SEARCH(",",B292,SEARCH('Liste des effets'!$B$6,B292))-(SEARCH('Liste des effets'!$B$6,B292)+LEN('Liste des effets'!$B$6)+1))),0)     +     IFERROR('Liste des effets'!$D$7*VALUE(MID(B292,SEARCH('Liste des effets'!$B$7,B292)+LEN('Liste des effets'!$B$7)+1,SEARCH(",",B292,SEARCH('Liste des effets'!$B$7,B292))-(SEARCH('Liste des effets'!$B$7,B292)+LEN('Liste des effets'!$B$7)+1))),0)     +     IFERROR('Liste des effets'!$D$8*VALUE(MID(B292,SEARCH('Liste des effets'!$B$8,B292)+LEN('Liste des effets'!$B$8)+1,SEARCH(",",B292,SEARCH('Liste des effets'!$B$8,B292))-(SEARCH('Liste des effets'!$B$8,B292)+LEN('Liste des effets'!$B$8)+1))),0)     +     IFERROR('Liste des effets'!$D$9*VALUE(MID(B292,SEARCH('Liste des effets'!$B$9,B292)+LEN('Liste des effets'!$B$9)+1,SEARCH(",",B292,SEARCH('Liste des effets'!$B$9,B292))-(SEARCH('Liste des effets'!$B$9,B292)+LEN('Liste des effets'!$B$9)+1))),0)     +     IFERROR('Liste des effets'!$D$10*VALUE(MID(B292,SEARCH('Liste des effets'!$B$10,B292)+LEN('Liste des effets'!$B$10)+1,SEARCH(",",B292,SEARCH('Liste des effets'!$B$10,B292))-(SEARCH('Liste des effets'!$B$10,B292)+LEN('Liste des effets'!$B$10)+1))),0)     +     IFERROR('Liste des effets'!$D$11*VALUE(MID(B292,SEARCH('Liste des effets'!$B$11,B292)+LEN('Liste des effets'!$B$11)+1,SEARCH(",",B292,SEARCH('Liste des effets'!$B$11,B292))-(SEARCH('Liste des effets'!$B$11,B292)+LEN('Liste des effets'!$B$11)+1))),0)     +     IFERROR('Liste des effets'!$D$12*VALUE(MID(B292,SEARCH('Liste des effets'!$B$12,B292)+LEN('Liste des effets'!$B$12)+1,SEARCH(",",B292,SEARCH('Liste des effets'!$B$12,B292))-(SEARCH('Liste des effets'!$B$12,B292)+LEN('Liste des effets'!$B$12)+1))),0)     +     IFERROR('Liste des effets'!$D$13*VALUE(MID(B292,SEARCH('Liste des effets'!$B$13,B292)+LEN('Liste des effets'!$B$13)+1,SEARCH(",",B292,SEARCH('Liste des effets'!$B$13,B292))-(SEARCH('Liste des effets'!$B$13,B292)+LEN('Liste des effets'!$B$13)+1))),0)     +     IFERROR('Liste des effets'!$D$14*VALUE(MID(B292,SEARCH('Liste des effets'!$B$14,B292)+LEN('Liste des effets'!$B$14)+1,SEARCH(",",B292,SEARCH('Liste des effets'!$B$14,B292))-(SEARCH('Liste des effets'!$B$14,B292)+LEN('Liste des effets'!$B$14)+1))),0)     +     IFERROR('Liste des effets'!$D$15*VALUE(MID(B292,SEARCH('Liste des effets'!$B$15,B292)+LEN('Liste des effets'!$B$15)+1,SEARCH(",",B292,SEARCH('Liste des effets'!$B$15,B292))-(SEARCH('Liste des effets'!$B$15,B292)+LEN('Liste des effets'!$B$15)+1))),0)     +     'Liste des effets'!$D$16*IF(IFERROR(SEARCH('Liste des effets'!$B$16,B292),0)&gt;0,1,0)     +     'Liste des effets'!$D$17*IF(IFERROR(SEARCH('Liste des effets'!$B$17,B292),0)&gt;0,1,0)     +     'Liste des effets'!$D$18*IF(IFERROR(SEARCH('Liste des effets'!$B$18,B292),0)&gt;0,1,0)     +     'Liste des effets'!$D$19*IF(IFERROR(SEARCH('Liste des effets'!$B$19,B292),0)&gt;0,1,0)      +     IF(IFERROR(SEARCH('Liste des effets'!$B$20,B292),0)&gt;0,1,0)    *     IF(B290='Equilibrage de base des sorts'!$B$5,'Equilibrage de base des sorts'!$C$9,0)      +     IF(IFERROR(SEARCH('Liste des effets'!$B$20,B292),0)&gt;0,1,0)    *     IF(B290='Equilibrage de base des sorts'!$B$10,'Equilibrage de base des sorts'!$C$14,0)      +     IF(IFERROR(SEARCH('Liste des effets'!$B$20,B292),0)&gt;0,1,0)    *     IF(B290='Equilibrage de base des sorts'!$B$15,'Equilibrage de base des sorts'!$C$19,0)      +     IF(IFERROR(SEARCH('Liste des effets'!$B$20,B292),0)&gt;0,1,0)    *     IF(B290='Equilibrage de base des sorts'!$B$20,'Equilibrage de base des sorts'!$C$24,0)</f>
        <v>40</v>
      </c>
    </row>
    <row r="294" spans="2:6" x14ac:dyDescent="0.25">
      <c r="B294" s="25"/>
      <c r="C294" s="26"/>
      <c r="E294" s="2" t="s">
        <v>53</v>
      </c>
      <c r="F294" s="2">
        <f>F291+F292+F293</f>
        <v>20</v>
      </c>
    </row>
    <row r="295" spans="2:6" ht="15.75" thickBot="1" x14ac:dyDescent="0.3">
      <c r="B295" s="27"/>
      <c r="C295" s="28"/>
    </row>
    <row r="297" spans="2:6" ht="18" thickBot="1" x14ac:dyDescent="0.35">
      <c r="B297" s="48" t="s">
        <v>180</v>
      </c>
      <c r="C297" s="48"/>
    </row>
    <row r="298" spans="2:6" ht="16.5" thickTop="1" thickBot="1" x14ac:dyDescent="0.3"/>
    <row r="299" spans="2:6" ht="18.75" x14ac:dyDescent="0.25">
      <c r="B299" s="19" t="s">
        <v>210</v>
      </c>
      <c r="C299" s="20"/>
    </row>
    <row r="300" spans="2:6" x14ac:dyDescent="0.25">
      <c r="B300" s="9" t="s">
        <v>44</v>
      </c>
      <c r="C300" s="10" t="s">
        <v>129</v>
      </c>
      <c r="E300" s="21" t="s">
        <v>54</v>
      </c>
      <c r="F300" s="22"/>
    </row>
    <row r="301" spans="2:6" ht="15.75" thickBot="1" x14ac:dyDescent="0.3">
      <c r="B301" s="9">
        <v>4</v>
      </c>
      <c r="C301" s="14">
        <v>3</v>
      </c>
      <c r="E301" t="s">
        <v>37</v>
      </c>
      <c r="F301">
        <f>IF(B300='Equilibrage de base des sorts'!$B$5,'Equilibrage de base des sorts'!$C$7-B301,0)*'Equilibrage de base des sorts'!$C$8    +    IF(B300='Equilibrage de base des sorts'!$B$10,'Equilibrage de base des sorts'!$C$12-B301,0)*'Equilibrage de base des sorts'!$C$13    +    IF(B300='Equilibrage de base des sorts'!$B$15,'Equilibrage de base des sorts'!$C$17-B301,0)*'Equilibrage de base des sorts'!$C$18    +    IF(B300='Equilibrage de base des sorts'!$B$20,'Equilibrage de base des sorts'!$C$22-B301,0)*'Equilibrage de base des sorts'!$C$23</f>
        <v>0</v>
      </c>
    </row>
    <row r="302" spans="2:6" x14ac:dyDescent="0.25">
      <c r="B302" s="23" t="s">
        <v>211</v>
      </c>
      <c r="C302" s="24"/>
      <c r="E302" t="s">
        <v>51</v>
      </c>
      <c r="F302">
        <f>-C301*5</f>
        <v>-15</v>
      </c>
    </row>
    <row r="303" spans="2:6" x14ac:dyDescent="0.25">
      <c r="B303" s="25"/>
      <c r="C303" s="26"/>
      <c r="E303" s="15" t="s">
        <v>52</v>
      </c>
      <c r="F303" s="15">
        <f>IFERROR('Liste des effets'!$D$5*VALUE(MID(B302,SEARCH('Liste des effets'!$B$5,B302)+LEN('Liste des effets'!$B$5)+1,SEARCH(",",B302,SEARCH('Liste des effets'!$B$5,B302))-(SEARCH('Liste des effets'!$B$5,B302)+LEN('Liste des effets'!$B$5)+1))),0)     +     IFERROR('Liste des effets'!$D$6*VALUE(MID(B302,SEARCH('Liste des effets'!$B$6,B302)+LEN('Liste des effets'!$B$6)+1,SEARCH(",",B302,SEARCH('Liste des effets'!$B$6,B302))-(SEARCH('Liste des effets'!$B$6,B302)+LEN('Liste des effets'!$B$6)+1))),0)     +     IFERROR('Liste des effets'!$D$7*VALUE(MID(B302,SEARCH('Liste des effets'!$B$7,B302)+LEN('Liste des effets'!$B$7)+1,SEARCH(",",B302,SEARCH('Liste des effets'!$B$7,B302))-(SEARCH('Liste des effets'!$B$7,B302)+LEN('Liste des effets'!$B$7)+1))),0)     +     IFERROR('Liste des effets'!$D$8*VALUE(MID(B302,SEARCH('Liste des effets'!$B$8,B302)+LEN('Liste des effets'!$B$8)+1,SEARCH(",",B302,SEARCH('Liste des effets'!$B$8,B302))-(SEARCH('Liste des effets'!$B$8,B302)+LEN('Liste des effets'!$B$8)+1))),0)     +     IFERROR('Liste des effets'!$D$9*VALUE(MID(B302,SEARCH('Liste des effets'!$B$9,B302)+LEN('Liste des effets'!$B$9)+1,SEARCH(",",B302,SEARCH('Liste des effets'!$B$9,B302))-(SEARCH('Liste des effets'!$B$9,B302)+LEN('Liste des effets'!$B$9)+1))),0)     +     IFERROR('Liste des effets'!$D$10*VALUE(MID(B302,SEARCH('Liste des effets'!$B$10,B302)+LEN('Liste des effets'!$B$10)+1,SEARCH(",",B302,SEARCH('Liste des effets'!$B$10,B302))-(SEARCH('Liste des effets'!$B$10,B302)+LEN('Liste des effets'!$B$10)+1))),0)     +     IFERROR('Liste des effets'!$D$11*VALUE(MID(B302,SEARCH('Liste des effets'!$B$11,B302)+LEN('Liste des effets'!$B$11)+1,SEARCH(",",B302,SEARCH('Liste des effets'!$B$11,B302))-(SEARCH('Liste des effets'!$B$11,B302)+LEN('Liste des effets'!$B$11)+1))),0)     +     IFERROR('Liste des effets'!$D$12*VALUE(MID(B302,SEARCH('Liste des effets'!$B$12,B302)+LEN('Liste des effets'!$B$12)+1,SEARCH(",",B302,SEARCH('Liste des effets'!$B$12,B302))-(SEARCH('Liste des effets'!$B$12,B302)+LEN('Liste des effets'!$B$12)+1))),0)     +     IFERROR('Liste des effets'!$D$13*VALUE(MID(B302,SEARCH('Liste des effets'!$B$13,B302)+LEN('Liste des effets'!$B$13)+1,SEARCH(",",B302,SEARCH('Liste des effets'!$B$13,B302))-(SEARCH('Liste des effets'!$B$13,B302)+LEN('Liste des effets'!$B$13)+1))),0)     +     IFERROR('Liste des effets'!$D$14*VALUE(MID(B302,SEARCH('Liste des effets'!$B$14,B302)+LEN('Liste des effets'!$B$14)+1,SEARCH(",",B302,SEARCH('Liste des effets'!$B$14,B302))-(SEARCH('Liste des effets'!$B$14,B302)+LEN('Liste des effets'!$B$14)+1))),0)     +     IFERROR('Liste des effets'!$D$15*VALUE(MID(B302,SEARCH('Liste des effets'!$B$15,B302)+LEN('Liste des effets'!$B$15)+1,SEARCH(",",B302,SEARCH('Liste des effets'!$B$15,B302))-(SEARCH('Liste des effets'!$B$15,B302)+LEN('Liste des effets'!$B$15)+1))),0)     +     'Liste des effets'!$D$16*IF(IFERROR(SEARCH('Liste des effets'!$B$16,B302),0)&gt;0,1,0)     +     'Liste des effets'!$D$17*IF(IFERROR(SEARCH('Liste des effets'!$B$17,B302),0)&gt;0,1,0)     +     'Liste des effets'!$D$18*IF(IFERROR(SEARCH('Liste des effets'!$B$18,B302),0)&gt;0,1,0)     +     'Liste des effets'!$D$19*IF(IFERROR(SEARCH('Liste des effets'!$B$19,B302),0)&gt;0,1,0)      +     IF(IFERROR(SEARCH('Liste des effets'!$B$20,B302),0)&gt;0,1,0)    *     IF(B300='Equilibrage de base des sorts'!$B$5,'Equilibrage de base des sorts'!$C$9,0)      +     IF(IFERROR(SEARCH('Liste des effets'!$B$20,B302),0)&gt;0,1,0)    *     IF(B300='Equilibrage de base des sorts'!$B$10,'Equilibrage de base des sorts'!$C$14,0)      +     IF(IFERROR(SEARCH('Liste des effets'!$B$20,B302),0)&gt;0,1,0)    *     IF(B300='Equilibrage de base des sorts'!$B$15,'Equilibrage de base des sorts'!$C$19,0)      +     IF(IFERROR(SEARCH('Liste des effets'!$B$20,B302),0)&gt;0,1,0)    *     IF(B300='Equilibrage de base des sorts'!$B$20,'Equilibrage de base des sorts'!$C$24,0)</f>
        <v>45</v>
      </c>
    </row>
    <row r="304" spans="2:6" x14ac:dyDescent="0.25">
      <c r="B304" s="25"/>
      <c r="C304" s="26"/>
      <c r="E304" s="2" t="s">
        <v>53</v>
      </c>
      <c r="F304" s="2">
        <f>F301+F302+F303</f>
        <v>30</v>
      </c>
    </row>
    <row r="305" spans="2:6" ht="15.75" thickBot="1" x14ac:dyDescent="0.3">
      <c r="B305" s="27"/>
      <c r="C305" s="28"/>
    </row>
    <row r="306" spans="2:6" ht="15.75" thickBot="1" x14ac:dyDescent="0.3"/>
    <row r="307" spans="2:6" ht="18.75" x14ac:dyDescent="0.25">
      <c r="B307" s="19" t="s">
        <v>213</v>
      </c>
      <c r="C307" s="20"/>
    </row>
    <row r="308" spans="2:6" x14ac:dyDescent="0.25">
      <c r="B308" s="9" t="s">
        <v>48</v>
      </c>
      <c r="C308" s="10" t="s">
        <v>129</v>
      </c>
      <c r="E308" s="21" t="s">
        <v>54</v>
      </c>
      <c r="F308" s="22"/>
    </row>
    <row r="309" spans="2:6" ht="15.75" thickBot="1" x14ac:dyDescent="0.3">
      <c r="B309" s="9">
        <v>5</v>
      </c>
      <c r="C309" s="14">
        <v>5</v>
      </c>
      <c r="E309" t="s">
        <v>37</v>
      </c>
      <c r="F309">
        <f>IF(B308='Equilibrage de base des sorts'!$B$5,'Equilibrage de base des sorts'!$C$7-B309,0)*'Equilibrage de base des sorts'!$C$8    +    IF(B308='Equilibrage de base des sorts'!$B$10,'Equilibrage de base des sorts'!$C$12-B309,0)*'Equilibrage de base des sorts'!$C$13    +    IF(B308='Equilibrage de base des sorts'!$B$15,'Equilibrage de base des sorts'!$C$17-B309,0)*'Equilibrage de base des sorts'!$C$18    +    IF(B308='Equilibrage de base des sorts'!$B$20,'Equilibrage de base des sorts'!$C$22-B309,0)*'Equilibrage de base des sorts'!$C$23</f>
        <v>-4</v>
      </c>
    </row>
    <row r="310" spans="2:6" x14ac:dyDescent="0.25">
      <c r="B310" s="23" t="s">
        <v>214</v>
      </c>
      <c r="C310" s="24"/>
      <c r="E310" t="s">
        <v>51</v>
      </c>
      <c r="F310">
        <f>-C309*5</f>
        <v>-25</v>
      </c>
    </row>
    <row r="311" spans="2:6" x14ac:dyDescent="0.25">
      <c r="B311" s="25"/>
      <c r="C311" s="26"/>
      <c r="E311" s="15" t="s">
        <v>52</v>
      </c>
      <c r="F311" s="15">
        <f>IFERROR('Liste des effets'!$D$5*VALUE(MID(B310,SEARCH('Liste des effets'!$B$5,B310)+LEN('Liste des effets'!$B$5)+1,SEARCH(",",B310,SEARCH('Liste des effets'!$B$5,B310))-(SEARCH('Liste des effets'!$B$5,B310)+LEN('Liste des effets'!$B$5)+1))),0)     +     IFERROR('Liste des effets'!$D$6*VALUE(MID(B310,SEARCH('Liste des effets'!$B$6,B310)+LEN('Liste des effets'!$B$6)+1,SEARCH(",",B310,SEARCH('Liste des effets'!$B$6,B310))-(SEARCH('Liste des effets'!$B$6,B310)+LEN('Liste des effets'!$B$6)+1))),0)     +     IFERROR('Liste des effets'!$D$7*VALUE(MID(B310,SEARCH('Liste des effets'!$B$7,B310)+LEN('Liste des effets'!$B$7)+1,SEARCH(",",B310,SEARCH('Liste des effets'!$B$7,B310))-(SEARCH('Liste des effets'!$B$7,B310)+LEN('Liste des effets'!$B$7)+1))),0)     +     IFERROR('Liste des effets'!$D$8*VALUE(MID(B310,SEARCH('Liste des effets'!$B$8,B310)+LEN('Liste des effets'!$B$8)+1,SEARCH(",",B310,SEARCH('Liste des effets'!$B$8,B310))-(SEARCH('Liste des effets'!$B$8,B310)+LEN('Liste des effets'!$B$8)+1))),0)     +     IFERROR('Liste des effets'!$D$9*VALUE(MID(B310,SEARCH('Liste des effets'!$B$9,B310)+LEN('Liste des effets'!$B$9)+1,SEARCH(",",B310,SEARCH('Liste des effets'!$B$9,B310))-(SEARCH('Liste des effets'!$B$9,B310)+LEN('Liste des effets'!$B$9)+1))),0)     +     IFERROR('Liste des effets'!$D$10*VALUE(MID(B310,SEARCH('Liste des effets'!$B$10,B310)+LEN('Liste des effets'!$B$10)+1,SEARCH(",",B310,SEARCH('Liste des effets'!$B$10,B310))-(SEARCH('Liste des effets'!$B$10,B310)+LEN('Liste des effets'!$B$10)+1))),0)     +     IFERROR('Liste des effets'!$D$11*VALUE(MID(B310,SEARCH('Liste des effets'!$B$11,B310)+LEN('Liste des effets'!$B$11)+1,SEARCH(",",B310,SEARCH('Liste des effets'!$B$11,B310))-(SEARCH('Liste des effets'!$B$11,B310)+LEN('Liste des effets'!$B$11)+1))),0)     +     IFERROR('Liste des effets'!$D$12*VALUE(MID(B310,SEARCH('Liste des effets'!$B$12,B310)+LEN('Liste des effets'!$B$12)+1,SEARCH(",",B310,SEARCH('Liste des effets'!$B$12,B310))-(SEARCH('Liste des effets'!$B$12,B310)+LEN('Liste des effets'!$B$12)+1))),0)     +     IFERROR('Liste des effets'!$D$13*VALUE(MID(B310,SEARCH('Liste des effets'!$B$13,B310)+LEN('Liste des effets'!$B$13)+1,SEARCH(",",B310,SEARCH('Liste des effets'!$B$13,B310))-(SEARCH('Liste des effets'!$B$13,B310)+LEN('Liste des effets'!$B$13)+1))),0)     +     IFERROR('Liste des effets'!$D$14*VALUE(MID(B310,SEARCH('Liste des effets'!$B$14,B310)+LEN('Liste des effets'!$B$14)+1,SEARCH(",",B310,SEARCH('Liste des effets'!$B$14,B310))-(SEARCH('Liste des effets'!$B$14,B310)+LEN('Liste des effets'!$B$14)+1))),0)     +     IFERROR('Liste des effets'!$D$15*VALUE(MID(B310,SEARCH('Liste des effets'!$B$15,B310)+LEN('Liste des effets'!$B$15)+1,SEARCH(",",B310,SEARCH('Liste des effets'!$B$15,B310))-(SEARCH('Liste des effets'!$B$15,B310)+LEN('Liste des effets'!$B$15)+1))),0)     +     'Liste des effets'!$D$16*IF(IFERROR(SEARCH('Liste des effets'!$B$16,B310),0)&gt;0,1,0)     +     'Liste des effets'!$D$17*IF(IFERROR(SEARCH('Liste des effets'!$B$17,B310),0)&gt;0,1,0)     +     'Liste des effets'!$D$18*IF(IFERROR(SEARCH('Liste des effets'!$B$18,B310),0)&gt;0,1,0)     +     'Liste des effets'!$D$19*IF(IFERROR(SEARCH('Liste des effets'!$B$19,B310),0)&gt;0,1,0)      +     IF(IFERROR(SEARCH('Liste des effets'!$B$20,B310),0)&gt;0,1,0)    *     IF(B308='Equilibrage de base des sorts'!$B$5,'Equilibrage de base des sorts'!$C$9,0)      +     IF(IFERROR(SEARCH('Liste des effets'!$B$20,B310),0)&gt;0,1,0)    *     IF(B308='Equilibrage de base des sorts'!$B$10,'Equilibrage de base des sorts'!$C$14,0)      +     IF(IFERROR(SEARCH('Liste des effets'!$B$20,B310),0)&gt;0,1,0)    *     IF(B308='Equilibrage de base des sorts'!$B$15,'Equilibrage de base des sorts'!$C$19,0)      +     IF(IFERROR(SEARCH('Liste des effets'!$B$20,B310),0)&gt;0,1,0)    *     IF(B308='Equilibrage de base des sorts'!$B$20,'Equilibrage de base des sorts'!$C$24,0)</f>
        <v>60</v>
      </c>
    </row>
    <row r="312" spans="2:6" x14ac:dyDescent="0.25">
      <c r="B312" s="25"/>
      <c r="C312" s="26"/>
      <c r="E312" s="2" t="s">
        <v>53</v>
      </c>
      <c r="F312" s="2">
        <f>F309+F310+F311</f>
        <v>31</v>
      </c>
    </row>
    <row r="313" spans="2:6" ht="15.75" thickBot="1" x14ac:dyDescent="0.3">
      <c r="B313" s="27"/>
      <c r="C313" s="28"/>
    </row>
    <row r="314" spans="2:6" ht="15.75" thickBot="1" x14ac:dyDescent="0.3"/>
    <row r="315" spans="2:6" ht="18.75" x14ac:dyDescent="0.25">
      <c r="B315" s="19" t="s">
        <v>212</v>
      </c>
      <c r="C315" s="20"/>
    </row>
    <row r="316" spans="2:6" x14ac:dyDescent="0.25">
      <c r="B316" s="9" t="s">
        <v>50</v>
      </c>
      <c r="C316" s="10" t="s">
        <v>125</v>
      </c>
      <c r="E316" s="21" t="s">
        <v>54</v>
      </c>
      <c r="F316" s="22"/>
    </row>
    <row r="317" spans="2:6" ht="15.75" thickBot="1" x14ac:dyDescent="0.3">
      <c r="B317" s="9">
        <v>2</v>
      </c>
      <c r="C317" s="14">
        <v>0</v>
      </c>
      <c r="E317" t="s">
        <v>37</v>
      </c>
      <c r="F317">
        <f>IF(B316='Equilibrage de base des sorts'!$B$5,'Equilibrage de base des sorts'!$C$7-B317,0)*'Equilibrage de base des sorts'!$C$8    +    IF(B316='Equilibrage de base des sorts'!$B$10,'Equilibrage de base des sorts'!$C$12-B317,0)*'Equilibrage de base des sorts'!$C$13    +    IF(B316='Equilibrage de base des sorts'!$B$15,'Equilibrage de base des sorts'!$C$17-B317,0)*'Equilibrage de base des sorts'!$C$18    +    IF(B316='Equilibrage de base des sorts'!$B$20,'Equilibrage de base des sorts'!$C$22-B317,0)*'Equilibrage de base des sorts'!$C$23</f>
        <v>15</v>
      </c>
    </row>
    <row r="318" spans="2:6" x14ac:dyDescent="0.25">
      <c r="B318" s="23" t="s">
        <v>167</v>
      </c>
      <c r="C318" s="24"/>
      <c r="E318" t="s">
        <v>51</v>
      </c>
      <c r="F318">
        <f>-C317*5</f>
        <v>0</v>
      </c>
    </row>
    <row r="319" spans="2:6" x14ac:dyDescent="0.25">
      <c r="B319" s="25"/>
      <c r="C319" s="26"/>
      <c r="E319" s="15" t="s">
        <v>52</v>
      </c>
      <c r="F319" s="15">
        <f>IFERROR('Liste des effets'!$D$5*VALUE(MID(B318,SEARCH('Liste des effets'!$B$5,B318)+LEN('Liste des effets'!$B$5)+1,SEARCH(",",B318,SEARCH('Liste des effets'!$B$5,B318))-(SEARCH('Liste des effets'!$B$5,B318)+LEN('Liste des effets'!$B$5)+1))),0)     +     IFERROR('Liste des effets'!$D$6*VALUE(MID(B318,SEARCH('Liste des effets'!$B$6,B318)+LEN('Liste des effets'!$B$6)+1,SEARCH(",",B318,SEARCH('Liste des effets'!$B$6,B318))-(SEARCH('Liste des effets'!$B$6,B318)+LEN('Liste des effets'!$B$6)+1))),0)     +     IFERROR('Liste des effets'!$D$7*VALUE(MID(B318,SEARCH('Liste des effets'!$B$7,B318)+LEN('Liste des effets'!$B$7)+1,SEARCH(",",B318,SEARCH('Liste des effets'!$B$7,B318))-(SEARCH('Liste des effets'!$B$7,B318)+LEN('Liste des effets'!$B$7)+1))),0)     +     IFERROR('Liste des effets'!$D$8*VALUE(MID(B318,SEARCH('Liste des effets'!$B$8,B318)+LEN('Liste des effets'!$B$8)+1,SEARCH(",",B318,SEARCH('Liste des effets'!$B$8,B318))-(SEARCH('Liste des effets'!$B$8,B318)+LEN('Liste des effets'!$B$8)+1))),0)     +     IFERROR('Liste des effets'!$D$9*VALUE(MID(B318,SEARCH('Liste des effets'!$B$9,B318)+LEN('Liste des effets'!$B$9)+1,SEARCH(",",B318,SEARCH('Liste des effets'!$B$9,B318))-(SEARCH('Liste des effets'!$B$9,B318)+LEN('Liste des effets'!$B$9)+1))),0)     +     IFERROR('Liste des effets'!$D$10*VALUE(MID(B318,SEARCH('Liste des effets'!$B$10,B318)+LEN('Liste des effets'!$B$10)+1,SEARCH(",",B318,SEARCH('Liste des effets'!$B$10,B318))-(SEARCH('Liste des effets'!$B$10,B318)+LEN('Liste des effets'!$B$10)+1))),0)     +     IFERROR('Liste des effets'!$D$11*VALUE(MID(B318,SEARCH('Liste des effets'!$B$11,B318)+LEN('Liste des effets'!$B$11)+1,SEARCH(",",B318,SEARCH('Liste des effets'!$B$11,B318))-(SEARCH('Liste des effets'!$B$11,B318)+LEN('Liste des effets'!$B$11)+1))),0)     +     IFERROR('Liste des effets'!$D$12*VALUE(MID(B318,SEARCH('Liste des effets'!$B$12,B318)+LEN('Liste des effets'!$B$12)+1,SEARCH(",",B318,SEARCH('Liste des effets'!$B$12,B318))-(SEARCH('Liste des effets'!$B$12,B318)+LEN('Liste des effets'!$B$12)+1))),0)     +     IFERROR('Liste des effets'!$D$13*VALUE(MID(B318,SEARCH('Liste des effets'!$B$13,B318)+LEN('Liste des effets'!$B$13)+1,SEARCH(",",B318,SEARCH('Liste des effets'!$B$13,B318))-(SEARCH('Liste des effets'!$B$13,B318)+LEN('Liste des effets'!$B$13)+1))),0)     +     IFERROR('Liste des effets'!$D$14*VALUE(MID(B318,SEARCH('Liste des effets'!$B$14,B318)+LEN('Liste des effets'!$B$14)+1,SEARCH(",",B318,SEARCH('Liste des effets'!$B$14,B318))-(SEARCH('Liste des effets'!$B$14,B318)+LEN('Liste des effets'!$B$14)+1))),0)     +     IFERROR('Liste des effets'!$D$15*VALUE(MID(B318,SEARCH('Liste des effets'!$B$15,B318)+LEN('Liste des effets'!$B$15)+1,SEARCH(",",B318,SEARCH('Liste des effets'!$B$15,B318))-(SEARCH('Liste des effets'!$B$15,B318)+LEN('Liste des effets'!$B$15)+1))),0)     +     'Liste des effets'!$D$16*IF(IFERROR(SEARCH('Liste des effets'!$B$16,B318),0)&gt;0,1,0)     +     'Liste des effets'!$D$17*IF(IFERROR(SEARCH('Liste des effets'!$B$17,B318),0)&gt;0,1,0)     +     'Liste des effets'!$D$18*IF(IFERROR(SEARCH('Liste des effets'!$B$18,B318),0)&gt;0,1,0)     +     'Liste des effets'!$D$19*IF(IFERROR(SEARCH('Liste des effets'!$B$19,B318),0)&gt;0,1,0)      +     IF(IFERROR(SEARCH('Liste des effets'!$B$20,B318),0)&gt;0,1,0)    *     IF(B316='Equilibrage de base des sorts'!$B$5,'Equilibrage de base des sorts'!$C$9,0)      +     IF(IFERROR(SEARCH('Liste des effets'!$B$20,B318),0)&gt;0,1,0)    *     IF(B316='Equilibrage de base des sorts'!$B$10,'Equilibrage de base des sorts'!$C$14,0)      +     IF(IFERROR(SEARCH('Liste des effets'!$B$20,B318),0)&gt;0,1,0)    *     IF(B316='Equilibrage de base des sorts'!$B$15,'Equilibrage de base des sorts'!$C$19,0)      +     IF(IFERROR(SEARCH('Liste des effets'!$B$20,B318),0)&gt;0,1,0)    *     IF(B316='Equilibrage de base des sorts'!$B$20,'Equilibrage de base des sorts'!$C$24,0)</f>
        <v>15</v>
      </c>
    </row>
    <row r="320" spans="2:6" x14ac:dyDescent="0.25">
      <c r="B320" s="25"/>
      <c r="C320" s="26"/>
      <c r="E320" s="2" t="s">
        <v>53</v>
      </c>
      <c r="F320" s="2">
        <f>F317+F318+F319</f>
        <v>30</v>
      </c>
    </row>
    <row r="321" spans="2:3" ht="15.75" thickBot="1" x14ac:dyDescent="0.3">
      <c r="B321" s="27"/>
      <c r="C321" s="28"/>
    </row>
  </sheetData>
  <mergeCells count="156">
    <mergeCell ref="B284:C287"/>
    <mergeCell ref="B263:C263"/>
    <mergeCell ref="B265:C265"/>
    <mergeCell ref="E266:F266"/>
    <mergeCell ref="B268:C271"/>
    <mergeCell ref="B273:C273"/>
    <mergeCell ref="B318:C321"/>
    <mergeCell ref="B315:C315"/>
    <mergeCell ref="E316:F316"/>
    <mergeCell ref="E300:F300"/>
    <mergeCell ref="B302:C305"/>
    <mergeCell ref="B307:C307"/>
    <mergeCell ref="E308:F308"/>
    <mergeCell ref="B310:C313"/>
    <mergeCell ref="B289:C289"/>
    <mergeCell ref="E290:F290"/>
    <mergeCell ref="B292:C295"/>
    <mergeCell ref="B297:C297"/>
    <mergeCell ref="B299:C299"/>
    <mergeCell ref="B174:C177"/>
    <mergeCell ref="B179:C179"/>
    <mergeCell ref="B181:C181"/>
    <mergeCell ref="E182:F182"/>
    <mergeCell ref="B184:C187"/>
    <mergeCell ref="E274:F274"/>
    <mergeCell ref="B276:C279"/>
    <mergeCell ref="B281:C281"/>
    <mergeCell ref="E282:F282"/>
    <mergeCell ref="K256:L256"/>
    <mergeCell ref="H258:I261"/>
    <mergeCell ref="B14:C14"/>
    <mergeCell ref="B48:C48"/>
    <mergeCell ref="B50:C50"/>
    <mergeCell ref="E51:F51"/>
    <mergeCell ref="B53:C56"/>
    <mergeCell ref="B58:C58"/>
    <mergeCell ref="E59:F59"/>
    <mergeCell ref="B61:C64"/>
    <mergeCell ref="B66:C66"/>
    <mergeCell ref="E67:F67"/>
    <mergeCell ref="B69:C72"/>
    <mergeCell ref="B74:C74"/>
    <mergeCell ref="E75:F75"/>
    <mergeCell ref="H250:I253"/>
    <mergeCell ref="B43:C46"/>
    <mergeCell ref="E114:F114"/>
    <mergeCell ref="B116:C119"/>
    <mergeCell ref="B82:C82"/>
    <mergeCell ref="B84:C84"/>
    <mergeCell ref="B163:C163"/>
    <mergeCell ref="E164:F164"/>
    <mergeCell ref="B166:C169"/>
    <mergeCell ref="N250:O253"/>
    <mergeCell ref="H255:I255"/>
    <mergeCell ref="H231:I231"/>
    <mergeCell ref="K232:L232"/>
    <mergeCell ref="H234:I237"/>
    <mergeCell ref="H247:I247"/>
    <mergeCell ref="K248:L248"/>
    <mergeCell ref="B111:C111"/>
    <mergeCell ref="B145:C145"/>
    <mergeCell ref="B147:C147"/>
    <mergeCell ref="B171:C171"/>
    <mergeCell ref="E172:F172"/>
    <mergeCell ref="E148:F148"/>
    <mergeCell ref="B150:C153"/>
    <mergeCell ref="B155:C155"/>
    <mergeCell ref="E156:F156"/>
    <mergeCell ref="B158:C161"/>
    <mergeCell ref="B200:C203"/>
    <mergeCell ref="B229:C229"/>
    <mergeCell ref="B189:C189"/>
    <mergeCell ref="E190:F190"/>
    <mergeCell ref="B192:C195"/>
    <mergeCell ref="B197:C197"/>
    <mergeCell ref="E198:F198"/>
    <mergeCell ref="Q17:R17"/>
    <mergeCell ref="N19:O22"/>
    <mergeCell ref="B19:C22"/>
    <mergeCell ref="H16:I16"/>
    <mergeCell ref="K17:L17"/>
    <mergeCell ref="H19:I22"/>
    <mergeCell ref="H3:L3"/>
    <mergeCell ref="H9:L10"/>
    <mergeCell ref="H7:L8"/>
    <mergeCell ref="H5:L6"/>
    <mergeCell ref="H4:L4"/>
    <mergeCell ref="B2:C2"/>
    <mergeCell ref="B7:C10"/>
    <mergeCell ref="E5:F5"/>
    <mergeCell ref="B4:C4"/>
    <mergeCell ref="E17:F17"/>
    <mergeCell ref="B16:C16"/>
    <mergeCell ref="B12:O12"/>
    <mergeCell ref="B113:C113"/>
    <mergeCell ref="N16:O16"/>
    <mergeCell ref="B24:C24"/>
    <mergeCell ref="H24:I24"/>
    <mergeCell ref="B32:C32"/>
    <mergeCell ref="E33:F33"/>
    <mergeCell ref="B35:C38"/>
    <mergeCell ref="H32:I32"/>
    <mergeCell ref="K33:L33"/>
    <mergeCell ref="H35:I38"/>
    <mergeCell ref="E25:F25"/>
    <mergeCell ref="B27:C30"/>
    <mergeCell ref="K25:L25"/>
    <mergeCell ref="H27:I30"/>
    <mergeCell ref="B77:C80"/>
    <mergeCell ref="B40:C40"/>
    <mergeCell ref="E41:F41"/>
    <mergeCell ref="E85:F85"/>
    <mergeCell ref="B87:C90"/>
    <mergeCell ref="B92:C92"/>
    <mergeCell ref="E93:F93"/>
    <mergeCell ref="B95:C98"/>
    <mergeCell ref="B100:C100"/>
    <mergeCell ref="E101:F101"/>
    <mergeCell ref="B103:C106"/>
    <mergeCell ref="B121:C121"/>
    <mergeCell ref="E122:F122"/>
    <mergeCell ref="B124:C127"/>
    <mergeCell ref="B109:O109"/>
    <mergeCell ref="H113:I113"/>
    <mergeCell ref="K114:L114"/>
    <mergeCell ref="H116:I119"/>
    <mergeCell ref="B132:C135"/>
    <mergeCell ref="H129:I129"/>
    <mergeCell ref="K130:L130"/>
    <mergeCell ref="H132:I135"/>
    <mergeCell ref="B129:C129"/>
    <mergeCell ref="E130:F130"/>
    <mergeCell ref="H137:I137"/>
    <mergeCell ref="K138:L138"/>
    <mergeCell ref="H140:I143"/>
    <mergeCell ref="N137:O137"/>
    <mergeCell ref="Q138:R138"/>
    <mergeCell ref="N140:O143"/>
    <mergeCell ref="B255:C255"/>
    <mergeCell ref="E256:F256"/>
    <mergeCell ref="B258:C261"/>
    <mergeCell ref="B137:C137"/>
    <mergeCell ref="E138:F138"/>
    <mergeCell ref="B140:C143"/>
    <mergeCell ref="B250:C253"/>
    <mergeCell ref="B247:C247"/>
    <mergeCell ref="E248:F248"/>
    <mergeCell ref="E240:F240"/>
    <mergeCell ref="B242:C245"/>
    <mergeCell ref="B234:C237"/>
    <mergeCell ref="B239:C239"/>
    <mergeCell ref="B227:O227"/>
    <mergeCell ref="B231:C231"/>
    <mergeCell ref="E232:F232"/>
    <mergeCell ref="N247:O247"/>
    <mergeCell ref="Q248:R248"/>
  </mergeCells>
  <pageMargins left="0.25" right="0.25" top="0.75" bottom="0.75" header="0.3" footer="0.3"/>
  <pageSetup paperSize="9" orientation="portrait" r:id="rId1"/>
  <drawing r:id="rId2"/>
  <legacyDrawing r:id="rId3"/>
  <tableParts count="46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G20"/>
  <sheetViews>
    <sheetView workbookViewId="0">
      <selection activeCell="C23" sqref="C23"/>
    </sheetView>
  </sheetViews>
  <sheetFormatPr baseColWidth="10" defaultRowHeight="15" x14ac:dyDescent="0.25"/>
  <cols>
    <col min="1" max="1" width="5.7109375" customWidth="1"/>
    <col min="2" max="2" width="36.85546875" customWidth="1"/>
    <col min="3" max="3" width="81.140625" customWidth="1"/>
    <col min="4" max="4" width="8.85546875" customWidth="1"/>
    <col min="5" max="5" width="26.85546875" customWidth="1"/>
    <col min="6" max="6" width="16.42578125" customWidth="1"/>
    <col min="7" max="7" width="19.28515625" customWidth="1"/>
  </cols>
  <sheetData>
    <row r="2" spans="2:7" ht="20.25" thickBot="1" x14ac:dyDescent="0.35">
      <c r="B2" s="29" t="s">
        <v>0</v>
      </c>
      <c r="C2" s="29"/>
      <c r="D2" s="29"/>
      <c r="E2" s="29"/>
    </row>
    <row r="3" spans="2:7" ht="15.75" thickTop="1" x14ac:dyDescent="0.25"/>
    <row r="4" spans="2:7" x14ac:dyDescent="0.25">
      <c r="B4" s="2" t="s">
        <v>2</v>
      </c>
      <c r="C4" s="2" t="s">
        <v>3</v>
      </c>
      <c r="D4" s="2" t="s">
        <v>4</v>
      </c>
      <c r="E4" s="2" t="s">
        <v>6</v>
      </c>
      <c r="F4" s="13" t="s">
        <v>55</v>
      </c>
      <c r="G4" s="2" t="s">
        <v>74</v>
      </c>
    </row>
    <row r="5" spans="2:7" x14ac:dyDescent="0.25">
      <c r="B5" s="17" t="s">
        <v>1</v>
      </c>
      <c r="C5" s="3" t="s">
        <v>5</v>
      </c>
      <c r="D5">
        <v>1</v>
      </c>
      <c r="E5" t="s">
        <v>7</v>
      </c>
      <c r="F5" t="s">
        <v>44</v>
      </c>
    </row>
    <row r="6" spans="2:7" x14ac:dyDescent="0.25">
      <c r="B6" s="18" t="s">
        <v>8</v>
      </c>
      <c r="C6" s="4" t="s">
        <v>9</v>
      </c>
      <c r="D6" s="5">
        <v>2</v>
      </c>
      <c r="E6" s="5" t="s">
        <v>10</v>
      </c>
      <c r="F6" s="5" t="s">
        <v>50</v>
      </c>
      <c r="G6" s="5"/>
    </row>
    <row r="7" spans="2:7" x14ac:dyDescent="0.25">
      <c r="B7" s="18" t="s">
        <v>11</v>
      </c>
      <c r="C7" s="4" t="s">
        <v>13</v>
      </c>
      <c r="D7" s="5">
        <v>5</v>
      </c>
      <c r="E7" s="5" t="s">
        <v>12</v>
      </c>
      <c r="F7" s="5" t="s">
        <v>56</v>
      </c>
      <c r="G7" s="5"/>
    </row>
    <row r="8" spans="2:7" x14ac:dyDescent="0.25">
      <c r="B8" s="18" t="s">
        <v>31</v>
      </c>
      <c r="C8" s="4" t="s">
        <v>32</v>
      </c>
      <c r="D8" s="5">
        <v>4</v>
      </c>
      <c r="E8" s="5" t="s">
        <v>12</v>
      </c>
      <c r="F8" s="5" t="s">
        <v>56</v>
      </c>
      <c r="G8" s="5"/>
    </row>
    <row r="9" spans="2:7" x14ac:dyDescent="0.25">
      <c r="B9" s="18" t="s">
        <v>156</v>
      </c>
      <c r="C9" s="4" t="s">
        <v>157</v>
      </c>
      <c r="D9" s="5">
        <v>2.5</v>
      </c>
      <c r="E9" s="5" t="s">
        <v>14</v>
      </c>
      <c r="F9" s="5" t="s">
        <v>56</v>
      </c>
      <c r="G9" s="5"/>
    </row>
    <row r="10" spans="2:7" x14ac:dyDescent="0.25">
      <c r="B10" s="18" t="s">
        <v>33</v>
      </c>
      <c r="C10" s="4" t="s">
        <v>160</v>
      </c>
      <c r="D10" s="5">
        <v>5</v>
      </c>
      <c r="E10" s="5" t="s">
        <v>161</v>
      </c>
      <c r="F10" s="5" t="s">
        <v>56</v>
      </c>
      <c r="G10" s="5"/>
    </row>
    <row r="11" spans="2:7" x14ac:dyDescent="0.25">
      <c r="B11" s="18" t="s">
        <v>17</v>
      </c>
      <c r="C11" s="4" t="s">
        <v>34</v>
      </c>
      <c r="D11" s="5">
        <v>1.5</v>
      </c>
      <c r="E11" s="5" t="s">
        <v>18</v>
      </c>
      <c r="F11" s="5" t="s">
        <v>57</v>
      </c>
      <c r="G11" s="5"/>
    </row>
    <row r="12" spans="2:7" x14ac:dyDescent="0.25">
      <c r="B12" s="18" t="s">
        <v>29</v>
      </c>
      <c r="C12" s="4" t="s">
        <v>30</v>
      </c>
      <c r="D12" s="5">
        <v>1</v>
      </c>
      <c r="E12" s="5" t="s">
        <v>18</v>
      </c>
      <c r="F12" s="5" t="s">
        <v>57</v>
      </c>
      <c r="G12" s="5"/>
    </row>
    <row r="13" spans="2:7" x14ac:dyDescent="0.25">
      <c r="B13" s="18" t="s">
        <v>23</v>
      </c>
      <c r="C13" s="4" t="s">
        <v>24</v>
      </c>
      <c r="D13" s="12">
        <v>5</v>
      </c>
      <c r="E13" s="5" t="s">
        <v>14</v>
      </c>
      <c r="F13" s="5" t="s">
        <v>58</v>
      </c>
      <c r="G13" s="5"/>
    </row>
    <row r="14" spans="2:7" x14ac:dyDescent="0.25">
      <c r="B14" s="18" t="s">
        <v>25</v>
      </c>
      <c r="C14" s="4" t="s">
        <v>26</v>
      </c>
      <c r="D14" s="5">
        <v>2.5</v>
      </c>
      <c r="E14" s="5" t="s">
        <v>27</v>
      </c>
      <c r="F14" s="5" t="s">
        <v>50</v>
      </c>
      <c r="G14" s="5"/>
    </row>
    <row r="15" spans="2:7" x14ac:dyDescent="0.25">
      <c r="B15" s="18" t="s">
        <v>20</v>
      </c>
      <c r="C15" s="11" t="s">
        <v>15</v>
      </c>
      <c r="D15" s="5">
        <v>5</v>
      </c>
      <c r="E15" s="5" t="s">
        <v>16</v>
      </c>
      <c r="F15" s="5" t="s">
        <v>50</v>
      </c>
      <c r="G15" s="5"/>
    </row>
    <row r="16" spans="2:7" x14ac:dyDescent="0.25">
      <c r="B16" s="18" t="s">
        <v>19</v>
      </c>
      <c r="C16" s="11" t="s">
        <v>28</v>
      </c>
      <c r="D16" s="5">
        <v>5</v>
      </c>
      <c r="E16" s="5"/>
      <c r="F16" s="5" t="s">
        <v>50</v>
      </c>
      <c r="G16" s="5"/>
    </row>
    <row r="17" spans="2:7" x14ac:dyDescent="0.25">
      <c r="B17" s="18" t="s">
        <v>21</v>
      </c>
      <c r="C17" s="11" t="s">
        <v>22</v>
      </c>
      <c r="D17" s="5">
        <v>5</v>
      </c>
      <c r="E17" s="5"/>
      <c r="F17" s="5" t="s">
        <v>50</v>
      </c>
      <c r="G17" s="5"/>
    </row>
    <row r="18" spans="2:7" x14ac:dyDescent="0.25">
      <c r="B18" s="18" t="s">
        <v>49</v>
      </c>
      <c r="C18" s="11" t="s">
        <v>59</v>
      </c>
      <c r="D18" s="5">
        <v>20</v>
      </c>
      <c r="E18" s="5"/>
      <c r="F18" s="5" t="s">
        <v>49</v>
      </c>
      <c r="G18" s="5"/>
    </row>
    <row r="19" spans="2:7" x14ac:dyDescent="0.25">
      <c r="B19" s="18" t="s">
        <v>60</v>
      </c>
      <c r="C19" s="11" t="s">
        <v>61</v>
      </c>
      <c r="D19" s="5">
        <v>-10</v>
      </c>
      <c r="E19" s="5" t="s">
        <v>123</v>
      </c>
      <c r="F19" s="5" t="s">
        <v>49</v>
      </c>
      <c r="G19" s="5"/>
    </row>
    <row r="20" spans="2:7" x14ac:dyDescent="0.25">
      <c r="B20" s="18" t="s">
        <v>68</v>
      </c>
      <c r="C20" s="4" t="s">
        <v>69</v>
      </c>
      <c r="D20" s="5" t="s">
        <v>70</v>
      </c>
      <c r="E20" s="5" t="s">
        <v>71</v>
      </c>
      <c r="F20" s="5" t="s">
        <v>57</v>
      </c>
      <c r="G20" s="5"/>
    </row>
  </sheetData>
  <mergeCells count="1">
    <mergeCell ref="B2:E2"/>
  </mergeCells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E24"/>
  <sheetViews>
    <sheetView workbookViewId="0">
      <selection activeCell="G18" sqref="G18"/>
    </sheetView>
  </sheetViews>
  <sheetFormatPr baseColWidth="10" defaultRowHeight="15" x14ac:dyDescent="0.25"/>
  <cols>
    <col min="2" max="2" width="28.5703125" customWidth="1"/>
    <col min="3" max="3" width="11" customWidth="1"/>
    <col min="4" max="4" width="10.42578125" customWidth="1"/>
    <col min="5" max="5" width="10.5703125" customWidth="1"/>
  </cols>
  <sheetData>
    <row r="2" spans="2:5" ht="20.25" thickBot="1" x14ac:dyDescent="0.35">
      <c r="B2" s="29" t="s">
        <v>35</v>
      </c>
      <c r="C2" s="29"/>
      <c r="D2" s="29"/>
      <c r="E2" s="29"/>
    </row>
    <row r="3" spans="2:5" ht="15.75" thickTop="1" x14ac:dyDescent="0.25">
      <c r="C3" s="8"/>
      <c r="D3" s="8"/>
      <c r="E3" s="8"/>
    </row>
    <row r="4" spans="2:5" x14ac:dyDescent="0.25">
      <c r="B4" t="s">
        <v>39</v>
      </c>
      <c r="C4" t="s">
        <v>41</v>
      </c>
      <c r="D4" t="s">
        <v>42</v>
      </c>
      <c r="E4" t="s">
        <v>43</v>
      </c>
    </row>
    <row r="5" spans="2:5" x14ac:dyDescent="0.25">
      <c r="B5" s="6" t="s">
        <v>44</v>
      </c>
    </row>
    <row r="6" spans="2:5" x14ac:dyDescent="0.25">
      <c r="B6" s="1" t="s">
        <v>40</v>
      </c>
      <c r="C6">
        <v>10</v>
      </c>
      <c r="D6">
        <v>20</v>
      </c>
      <c r="E6">
        <v>30</v>
      </c>
    </row>
    <row r="7" spans="2:5" x14ac:dyDescent="0.25">
      <c r="B7" s="7" t="s">
        <v>36</v>
      </c>
      <c r="C7">
        <v>4</v>
      </c>
      <c r="D7">
        <v>4</v>
      </c>
      <c r="E7">
        <v>4</v>
      </c>
    </row>
    <row r="8" spans="2:5" x14ac:dyDescent="0.25">
      <c r="B8" s="7" t="s">
        <v>37</v>
      </c>
      <c r="C8">
        <v>4</v>
      </c>
      <c r="D8">
        <v>4</v>
      </c>
      <c r="E8">
        <v>4</v>
      </c>
    </row>
    <row r="9" spans="2:5" x14ac:dyDescent="0.25">
      <c r="B9" s="7" t="s">
        <v>38</v>
      </c>
      <c r="C9">
        <v>5</v>
      </c>
      <c r="D9">
        <v>5</v>
      </c>
      <c r="E9">
        <v>5</v>
      </c>
    </row>
    <row r="10" spans="2:5" x14ac:dyDescent="0.25">
      <c r="B10" s="6" t="s">
        <v>48</v>
      </c>
    </row>
    <row r="11" spans="2:5" x14ac:dyDescent="0.25">
      <c r="B11" s="1" t="s">
        <v>40</v>
      </c>
      <c r="C11">
        <v>10</v>
      </c>
      <c r="D11">
        <v>20</v>
      </c>
      <c r="E11">
        <v>30</v>
      </c>
    </row>
    <row r="12" spans="2:5" x14ac:dyDescent="0.25">
      <c r="B12" s="7" t="s">
        <v>36</v>
      </c>
      <c r="C12">
        <v>4</v>
      </c>
      <c r="D12">
        <v>4</v>
      </c>
      <c r="E12">
        <v>4</v>
      </c>
    </row>
    <row r="13" spans="2:5" x14ac:dyDescent="0.25">
      <c r="B13" s="7" t="s">
        <v>37</v>
      </c>
      <c r="C13">
        <v>4</v>
      </c>
      <c r="D13">
        <v>4</v>
      </c>
      <c r="E13">
        <v>4</v>
      </c>
    </row>
    <row r="14" spans="2:5" x14ac:dyDescent="0.25">
      <c r="B14" s="7" t="s">
        <v>38</v>
      </c>
      <c r="C14">
        <v>5</v>
      </c>
      <c r="D14">
        <v>5</v>
      </c>
      <c r="E14">
        <v>5</v>
      </c>
    </row>
    <row r="15" spans="2:5" x14ac:dyDescent="0.25">
      <c r="B15" s="6" t="s">
        <v>49</v>
      </c>
    </row>
    <row r="16" spans="2:5" x14ac:dyDescent="0.25">
      <c r="B16" s="1" t="s">
        <v>40</v>
      </c>
      <c r="C16">
        <v>10</v>
      </c>
      <c r="D16">
        <v>20</v>
      </c>
      <c r="E16">
        <v>30</v>
      </c>
    </row>
    <row r="17" spans="2:5" x14ac:dyDescent="0.25">
      <c r="B17" s="7" t="s">
        <v>36</v>
      </c>
      <c r="C17">
        <v>4</v>
      </c>
      <c r="D17">
        <v>4</v>
      </c>
      <c r="E17">
        <v>4</v>
      </c>
    </row>
    <row r="18" spans="2:5" x14ac:dyDescent="0.25">
      <c r="B18" s="7" t="s">
        <v>37</v>
      </c>
      <c r="C18">
        <v>4</v>
      </c>
      <c r="D18">
        <v>4</v>
      </c>
      <c r="E18">
        <v>4</v>
      </c>
    </row>
    <row r="19" spans="2:5" x14ac:dyDescent="0.25">
      <c r="B19" s="7" t="s">
        <v>38</v>
      </c>
      <c r="C19">
        <v>10</v>
      </c>
      <c r="D19">
        <v>10</v>
      </c>
      <c r="E19">
        <v>10</v>
      </c>
    </row>
    <row r="20" spans="2:5" x14ac:dyDescent="0.25">
      <c r="B20" s="6" t="s">
        <v>50</v>
      </c>
    </row>
    <row r="21" spans="2:5" x14ac:dyDescent="0.25">
      <c r="B21" s="1" t="s">
        <v>40</v>
      </c>
      <c r="C21">
        <v>10</v>
      </c>
      <c r="D21">
        <v>20</v>
      </c>
      <c r="E21">
        <v>30</v>
      </c>
    </row>
    <row r="22" spans="2:5" x14ac:dyDescent="0.25">
      <c r="B22" s="7" t="s">
        <v>36</v>
      </c>
      <c r="C22">
        <v>5</v>
      </c>
      <c r="D22">
        <v>5</v>
      </c>
      <c r="E22">
        <v>5</v>
      </c>
    </row>
    <row r="23" spans="2:5" x14ac:dyDescent="0.25">
      <c r="B23" s="7" t="s">
        <v>37</v>
      </c>
      <c r="C23">
        <v>5</v>
      </c>
      <c r="D23">
        <v>5</v>
      </c>
      <c r="E23">
        <v>5</v>
      </c>
    </row>
    <row r="24" spans="2:5" x14ac:dyDescent="0.25">
      <c r="B24" s="7" t="s">
        <v>38</v>
      </c>
      <c r="C24">
        <v>10</v>
      </c>
      <c r="D24">
        <v>10</v>
      </c>
      <c r="E24">
        <v>10</v>
      </c>
    </row>
  </sheetData>
  <mergeCells count="1">
    <mergeCell ref="B2:E2"/>
  </mergeCells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28"/>
  <sheetViews>
    <sheetView workbookViewId="0">
      <selection activeCell="F10" sqref="F10"/>
    </sheetView>
  </sheetViews>
  <sheetFormatPr baseColWidth="10" defaultRowHeight="15" x14ac:dyDescent="0.25"/>
  <cols>
    <col min="2" max="2" width="23.140625" customWidth="1"/>
    <col min="3" max="3" width="68.42578125" customWidth="1"/>
    <col min="4" max="4" width="15" customWidth="1"/>
    <col min="5" max="5" width="26.5703125" customWidth="1"/>
    <col min="6" max="6" width="30.5703125" customWidth="1"/>
  </cols>
  <sheetData>
    <row r="2" spans="2:6" ht="20.25" thickBot="1" x14ac:dyDescent="0.35">
      <c r="B2" s="29" t="s">
        <v>84</v>
      </c>
      <c r="C2" s="29"/>
    </row>
    <row r="3" spans="2:6" ht="15.75" thickTop="1" x14ac:dyDescent="0.25"/>
    <row r="4" spans="2:6" x14ac:dyDescent="0.25">
      <c r="B4" t="s">
        <v>39</v>
      </c>
      <c r="C4" t="s">
        <v>75</v>
      </c>
    </row>
    <row r="5" spans="2:6" x14ac:dyDescent="0.25">
      <c r="B5" s="17" t="s">
        <v>76</v>
      </c>
      <c r="C5" s="3" t="s">
        <v>77</v>
      </c>
    </row>
    <row r="6" spans="2:6" x14ac:dyDescent="0.25">
      <c r="B6" s="17" t="s">
        <v>78</v>
      </c>
      <c r="C6" s="3" t="s">
        <v>98</v>
      </c>
    </row>
    <row r="7" spans="2:6" x14ac:dyDescent="0.25">
      <c r="B7" s="17" t="s">
        <v>79</v>
      </c>
      <c r="C7" s="3" t="s">
        <v>80</v>
      </c>
    </row>
    <row r="8" spans="2:6" x14ac:dyDescent="0.25">
      <c r="B8" s="17" t="s">
        <v>81</v>
      </c>
      <c r="C8" s="3" t="s">
        <v>82</v>
      </c>
    </row>
    <row r="9" spans="2:6" x14ac:dyDescent="0.25">
      <c r="B9" s="17" t="s">
        <v>83</v>
      </c>
      <c r="C9" s="3" t="s">
        <v>120</v>
      </c>
    </row>
    <row r="11" spans="2:6" ht="20.25" thickBot="1" x14ac:dyDescent="0.35">
      <c r="B11" s="29" t="s">
        <v>85</v>
      </c>
      <c r="C11" s="29"/>
    </row>
    <row r="12" spans="2:6" ht="15.75" thickTop="1" x14ac:dyDescent="0.25"/>
    <row r="13" spans="2:6" x14ac:dyDescent="0.25">
      <c r="B13" t="s">
        <v>2</v>
      </c>
      <c r="C13" t="s">
        <v>3</v>
      </c>
      <c r="D13" t="s">
        <v>4</v>
      </c>
      <c r="E13" t="s">
        <v>6</v>
      </c>
      <c r="F13" t="s">
        <v>97</v>
      </c>
    </row>
    <row r="14" spans="2:6" x14ac:dyDescent="0.25">
      <c r="B14" s="17" t="s">
        <v>86</v>
      </c>
      <c r="C14" s="3" t="s">
        <v>90</v>
      </c>
      <c r="D14">
        <v>1</v>
      </c>
      <c r="E14" t="s">
        <v>94</v>
      </c>
      <c r="F14" t="s">
        <v>118</v>
      </c>
    </row>
    <row r="15" spans="2:6" x14ac:dyDescent="0.25">
      <c r="B15" s="17" t="s">
        <v>87</v>
      </c>
      <c r="C15" s="3" t="s">
        <v>91</v>
      </c>
      <c r="D15">
        <v>5</v>
      </c>
      <c r="E15" t="s">
        <v>95</v>
      </c>
      <c r="F15" t="s">
        <v>119</v>
      </c>
    </row>
    <row r="16" spans="2:6" x14ac:dyDescent="0.25">
      <c r="B16" s="17" t="s">
        <v>88</v>
      </c>
      <c r="C16" s="3" t="s">
        <v>92</v>
      </c>
      <c r="D16">
        <v>50</v>
      </c>
      <c r="E16" t="s">
        <v>96</v>
      </c>
      <c r="F16" t="s">
        <v>56</v>
      </c>
    </row>
    <row r="17" spans="2:6" x14ac:dyDescent="0.25">
      <c r="B17" s="17" t="s">
        <v>89</v>
      </c>
      <c r="C17" s="3" t="s">
        <v>93</v>
      </c>
      <c r="D17">
        <v>10</v>
      </c>
      <c r="E17" t="s">
        <v>12</v>
      </c>
      <c r="F17" t="s">
        <v>83</v>
      </c>
    </row>
    <row r="18" spans="2:6" x14ac:dyDescent="0.25">
      <c r="B18" s="18" t="s">
        <v>99</v>
      </c>
      <c r="C18" s="4" t="s">
        <v>114</v>
      </c>
      <c r="D18" s="5">
        <v>1</v>
      </c>
      <c r="E18" s="5" t="s">
        <v>105</v>
      </c>
      <c r="F18" s="5" t="s">
        <v>78</v>
      </c>
    </row>
    <row r="19" spans="2:6" x14ac:dyDescent="0.25">
      <c r="B19" s="18" t="s">
        <v>100</v>
      </c>
      <c r="C19" s="4" t="s">
        <v>115</v>
      </c>
      <c r="D19" s="5">
        <v>3</v>
      </c>
      <c r="E19" s="5" t="s">
        <v>105</v>
      </c>
      <c r="F19" s="5" t="s">
        <v>78</v>
      </c>
    </row>
    <row r="20" spans="2:6" x14ac:dyDescent="0.25">
      <c r="B20" s="18" t="s">
        <v>101</v>
      </c>
      <c r="C20" s="4" t="s">
        <v>116</v>
      </c>
      <c r="D20" s="5">
        <v>2</v>
      </c>
      <c r="E20" s="5" t="s">
        <v>105</v>
      </c>
      <c r="F20" s="5" t="s">
        <v>78</v>
      </c>
    </row>
    <row r="21" spans="2:6" x14ac:dyDescent="0.25">
      <c r="B21" s="18" t="s">
        <v>102</v>
      </c>
      <c r="C21" s="4" t="s">
        <v>117</v>
      </c>
      <c r="D21" s="5">
        <v>3</v>
      </c>
      <c r="E21" s="5" t="s">
        <v>105</v>
      </c>
      <c r="F21" s="5" t="s">
        <v>78</v>
      </c>
    </row>
    <row r="23" spans="2:6" ht="20.25" thickBot="1" x14ac:dyDescent="0.35">
      <c r="B23" s="29" t="s">
        <v>103</v>
      </c>
      <c r="C23" s="29"/>
    </row>
    <row r="24" spans="2:6" ht="15.75" thickTop="1" x14ac:dyDescent="0.25"/>
    <row r="25" spans="2:6" x14ac:dyDescent="0.25">
      <c r="B25" t="s">
        <v>2</v>
      </c>
      <c r="C25" t="s">
        <v>3</v>
      </c>
      <c r="D25" t="s">
        <v>4</v>
      </c>
      <c r="E25" t="s">
        <v>6</v>
      </c>
    </row>
    <row r="26" spans="2:6" x14ac:dyDescent="0.25">
      <c r="B26" s="17" t="s">
        <v>106</v>
      </c>
      <c r="C26" s="3" t="s">
        <v>113</v>
      </c>
      <c r="D26" t="s">
        <v>107</v>
      </c>
    </row>
    <row r="27" spans="2:6" x14ac:dyDescent="0.25">
      <c r="B27" s="17" t="s">
        <v>104</v>
      </c>
      <c r="C27" s="3" t="s">
        <v>109</v>
      </c>
      <c r="D27">
        <v>5</v>
      </c>
      <c r="E27" t="s">
        <v>112</v>
      </c>
    </row>
    <row r="28" spans="2:6" x14ac:dyDescent="0.25">
      <c r="B28" s="17" t="s">
        <v>110</v>
      </c>
      <c r="C28" s="3" t="s">
        <v>108</v>
      </c>
      <c r="D28">
        <v>25</v>
      </c>
      <c r="E28" t="s">
        <v>111</v>
      </c>
    </row>
  </sheetData>
  <mergeCells count="3">
    <mergeCell ref="B2:C2"/>
    <mergeCell ref="B11:C11"/>
    <mergeCell ref="B23:C23"/>
  </mergeCells>
  <pageMargins left="0.7" right="0.7" top="0.75" bottom="0.75" header="0.3" footer="0.3"/>
  <pageSetup paperSize="9" orientation="portrait" horizontalDpi="4294967293" verticalDpi="4294967293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Liste des sorts</vt:lpstr>
      <vt:lpstr>Liste des effets</vt:lpstr>
      <vt:lpstr>Equilibrage de base des sorts</vt:lpstr>
      <vt:lpstr>Equilibrage des équipements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</dc:creator>
  <cp:lastModifiedBy>Didier</cp:lastModifiedBy>
  <cp:lastPrinted>2009-11-09T22:33:33Z</cp:lastPrinted>
  <dcterms:created xsi:type="dcterms:W3CDTF">2009-11-05T19:48:06Z</dcterms:created>
  <dcterms:modified xsi:type="dcterms:W3CDTF">2010-05-26T15:42:53Z</dcterms:modified>
</cp:coreProperties>
</file>